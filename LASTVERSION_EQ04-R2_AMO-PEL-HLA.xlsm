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ÉCOLE\AUTOMNE 2023\GESTION OPÉRATIONELLE\"/>
    </mc:Choice>
  </mc:AlternateContent>
  <xr:revisionPtr revIDLastSave="0" documentId="13_ncr:1_{BF789769-29B2-4A07-B62B-E78F10D80824}" xr6:coauthVersionLast="47" xr6:coauthVersionMax="47" xr10:uidLastSave="{00000000-0000-0000-0000-000000000000}"/>
  <workbookProtection lockStructure="1"/>
  <bookViews>
    <workbookView xWindow="9150" yWindow="0" windowWidth="11445" windowHeight="10905" tabRatio="758" firstSheet="5" activeTab="9" xr2:uid="{00000000-000D-0000-FFFF-FFFF00000000}"/>
  </bookViews>
  <sheets>
    <sheet name="DonnéesProd" sheetId="5" r:id="rId1"/>
    <sheet name="CalculsProd" sheetId="8" r:id="rId2"/>
    <sheet name="TS03&amp;04-Ordo-Graph" sheetId="1" r:id="rId3"/>
    <sheet name="TS03&amp;04-Ordo-Tableau" sheetId="2" r:id="rId4"/>
    <sheet name="TS05-Impl-Chaînons" sheetId="12" r:id="rId5"/>
    <sheet name="TS07-Financement" sheetId="9" r:id="rId6"/>
    <sheet name="TS07-Frais_Fixes" sheetId="15" r:id="rId7"/>
    <sheet name="TS07-Frais_Variables" sheetId="14" r:id="rId8"/>
    <sheet name="TS07-Récapitulatif" sheetId="16" r:id="rId9"/>
    <sheet name="TS12-Ergonomie" sheetId="17" r:id="rId10"/>
  </sheets>
  <functionGroups builtInGroupCount="19"/>
  <definedNames>
    <definedName name="ASociaux">DonnéesProd!$D$36</definedName>
    <definedName name="Assurances">DonnéesProd!$D$64</definedName>
    <definedName name="Autre_Frais_Fixes">DonnéesProd!$D$65</definedName>
    <definedName name="CapitalFinancement">DonnéesProd!$D$49</definedName>
    <definedName name="CF_Totaux">'TS07-Frais_Fixes'!$C$17</definedName>
    <definedName name="ColAddRef">'TS03&amp;04-Ordo-Graph'!$CC$11</definedName>
    <definedName name="Consommables">DonnéesProd!$D$55</definedName>
    <definedName name="CoutEmprunt">'TS07-Financement'!$F$11</definedName>
    <definedName name="CT_FraiseuseCNC">DonnéesProd!$D$43</definedName>
    <definedName name="CT_FraisMan">DonnéesProd!$D$41</definedName>
    <definedName name="CT_Scie">DonnéesProd!$D$39</definedName>
    <definedName name="CT_TourFraiseur">DonnéesProd!$D$42</definedName>
    <definedName name="CT_TourMan">DonnéesProd!$D$40</definedName>
    <definedName name="Ctrl_Qual">DonnéesProd!$D$19</definedName>
    <definedName name="CtrlQual">DonnéesProd!$D$19</definedName>
    <definedName name="CV_Totaux">'TS07-Frais_Variables'!$D$21</definedName>
    <definedName name="EffProd">DonnéesProd!$D$18</definedName>
    <definedName name="Elec_Bureaux">DonnéesProd!$D$61</definedName>
    <definedName name="Elec_Prod">DonnéesProd!$D$53</definedName>
    <definedName name="Electr_Usine">DonnéesProd!$D$53</definedName>
    <definedName name="END_OrdoGraphs">'TS03&amp;04-Ordo-Graph'!$B$94</definedName>
    <definedName name="End_OrdoHM_Init">'TS03&amp;04-Ordo-Graph'!$B$131</definedName>
    <definedName name="Entretien_Batiment">DonnéesProd!$D$66</definedName>
    <definedName name="Entretien_Equipement">DonnéesProd!$D$54</definedName>
    <definedName name="Entretien_Machines">DonnéesProd!$D$54</definedName>
    <definedName name="GFab_P1" localSheetId="2">'TS03&amp;04-Ordo-Graph'!$F$5:$K$6</definedName>
    <definedName name="GFab_P10">'TS03&amp;04-Ordo-Graph'!$CR$5:$CW$6</definedName>
    <definedName name="GFab_P11">'TS03&amp;04-Ordo-Graph'!$DB$5:$DG$6</definedName>
    <definedName name="GFab_P12">'TS03&amp;04-Ordo-Graph'!$DL$5:$DQ$6</definedName>
    <definedName name="GFab_P13">'TS03&amp;04-Ordo-Graph'!$DV$5:$EA$6</definedName>
    <definedName name="GFab_P14">'TS03&amp;04-Ordo-Graph'!$EF$5:$EK$6</definedName>
    <definedName name="GFab_P2" localSheetId="2">'TS03&amp;04-Ordo-Graph'!$P$5:$U$7</definedName>
    <definedName name="GFab_P3" localSheetId="2">'TS03&amp;04-Ordo-Graph'!$Z$5:$AE$7</definedName>
    <definedName name="GFab_P4" localSheetId="2">'TS03&amp;04-Ordo-Graph'!$AJ$5:$AO$6</definedName>
    <definedName name="GFab_P5">'TS03&amp;04-Ordo-Graph'!$AT$5:$AY$6</definedName>
    <definedName name="GFab_P6">'TS03&amp;04-Ordo-Graph'!$BD$5:$BI$7</definedName>
    <definedName name="GFab_P7">'TS03&amp;04-Ordo-Graph'!$BN$5:$BS$6</definedName>
    <definedName name="GFab_P8">'TS03&amp;04-Ordo-Graph'!$BX$5:$CC$6</definedName>
    <definedName name="GFab_P9">'TS03&amp;04-Ordo-Graph'!$CH$5:$CM$7</definedName>
    <definedName name="HreFeriePaye">DonnéesProd!$E$7</definedName>
    <definedName name="hres_payees_annee">'TS07-Frais_Variables'!$E$27</definedName>
    <definedName name="HresCongéPaye">DonnéesProd!$E$8</definedName>
    <definedName name="HrsPaye_an">DonnéesProd!$D$12</definedName>
    <definedName name="HrsTravPaye_an">DonnéesProd!$D$11</definedName>
    <definedName name="JhnTb">'TS03&amp;04-Ordo-Tableau'!$C$3:$P$10</definedName>
    <definedName name="Jours_Vacances">DonnéesProd!$D$8</definedName>
    <definedName name="JPaye_an">DonnéesProd!$D$10</definedName>
    <definedName name="Jrs_Feries">DonnéesProd!$D$7</definedName>
    <definedName name="JTravPaye_an">DonnéesProd!$D$9</definedName>
    <definedName name="Loyer">DonnéesProd!$D$60</definedName>
    <definedName name="MargeBenef">DonnéesProd!$D$57</definedName>
    <definedName name="MatierePrem">DonnéesProd!$D$77</definedName>
    <definedName name="Mise_de_Fond">DonnéesProd!$C$48</definedName>
    <definedName name="Nb_Ach">DonnéesProd!$C$32</definedName>
    <definedName name="Nb_Adj">DonnéesProd!$C$33</definedName>
    <definedName name="Nb_Contremaitres">DonnéesProd!$C$22</definedName>
    <definedName name="Nb_Dir">DonnéesProd!$C$31</definedName>
    <definedName name="Nb_FraiseuseCNC">DonnéesProd!$C$43</definedName>
    <definedName name="Nb_FraisMan">DonnéesProd!$C$41</definedName>
    <definedName name="Nb_Machiniste">DonnéesProd!$C$25</definedName>
    <definedName name="Nb_Oper_Assemblage">DonnéesProd!$C$24</definedName>
    <definedName name="Nb_Operateur">DonnéesProd!$C$23</definedName>
    <definedName name="Nb_Scie">DonnéesProd!$C$39</definedName>
    <definedName name="Nb_Technicien">DonnéesProd!$C$26</definedName>
    <definedName name="Nb_Technicien_entretien">DonnéesProd!$C$27</definedName>
    <definedName name="Nb_TourFraiseur">DonnéesProd!$C$42</definedName>
    <definedName name="Nb_TourMan">DonnéesProd!$C$40</definedName>
    <definedName name="NbHeuresQuart">DonnéesProd!$D$15</definedName>
    <definedName name="NbItems">DonnéesProd!$D$3</definedName>
    <definedName name="NbMoteur_par_Heure">CalculsProd!$B$10</definedName>
    <definedName name="NbMoteur_par_Jour">CalculsProd!$B$9</definedName>
    <definedName name="NbMoteur_par_Min">CalculsProd!$B$11</definedName>
    <definedName name="NbQuartJour_Assy">DonnéesProd!$D$14</definedName>
    <definedName name="NbQuartJour_prod">DonnéesProd!$D$13</definedName>
    <definedName name="NbrJoursSem">DonnéesProd!$D$6</definedName>
    <definedName name="Outils_Consumables">DonnéesProd!$D$55</definedName>
    <definedName name="PausesAnnPayées">DonnéesProd!$E$16</definedName>
    <definedName name="PérProd">DonnéesProd!$D$4</definedName>
    <definedName name="Pourc_Financement">DonnéesProd!$C$49</definedName>
    <definedName name="Pourc_Revente">DonnéesProd!$C$47</definedName>
    <definedName name="Prix_FraiseuseCNC">DonnéesProd!$B$43</definedName>
    <definedName name="Prix_FraisMan">DonnéesProd!$B$41</definedName>
    <definedName name="Prix_Revente">DonnéesProd!$D$47</definedName>
    <definedName name="Prix_Scie">DonnéesProd!$B$39</definedName>
    <definedName name="Prix_TourFraiseur">DonnéesProd!$B$42</definedName>
    <definedName name="Prix_TourMan">DonnéesProd!$B$40</definedName>
    <definedName name="ReventeTotale">DonnéesProd!$D$47</definedName>
    <definedName name="Salaire_Ach">DonnéesProd!$B$32</definedName>
    <definedName name="Salaire_Acheteur">DonnéesProd!$D$32</definedName>
    <definedName name="Salaire_Adj">DonnéesProd!$B$33</definedName>
    <definedName name="Salaire_Adjoint">DonnéesProd!$D$33</definedName>
    <definedName name="Salaire_Contremaitres">DonnéesProd!$D$22</definedName>
    <definedName name="Salaire_Dir">DonnéesProd!$B$31</definedName>
    <definedName name="Salaire_Directeur">DonnéesProd!$D$31</definedName>
    <definedName name="Salaire_Machinistes">DonnéesProd!$D$25</definedName>
    <definedName name="Salaire_Op_Assemblage">DonnéesProd!$D$24</definedName>
    <definedName name="Salaire_Opérateurs">DonnéesProd!$D$23</definedName>
    <definedName name="Salaire_Tech_entretien">DonnéesProd!$D$27</definedName>
    <definedName name="Salaire_Techniciens">DonnéesProd!$D$26</definedName>
    <definedName name="Start_OrdoHM_Init">'TS03&amp;04-Ordo-Graph'!$B$97</definedName>
    <definedName name="Start_OrdoOptim">'TS03&amp;04-Ordo-Graph'!$B$77</definedName>
    <definedName name="Start_P1">'TS03&amp;04-Ordo-Graph'!$C$3</definedName>
    <definedName name="Start_P10" localSheetId="2">'TS03&amp;04-Ordo-Graph'!$CO$3</definedName>
    <definedName name="Start_P10">'TS03&amp;04-Ordo-Graph'!$CO$3</definedName>
    <definedName name="Start_P11" localSheetId="2">'TS03&amp;04-Ordo-Graph'!$CY$3</definedName>
    <definedName name="Start_P11">'TS03&amp;04-Ordo-Graph'!$CY$3</definedName>
    <definedName name="Start_P12" localSheetId="2">'TS03&amp;04-Ordo-Graph'!$DI$3</definedName>
    <definedName name="Start_P12">'TS03&amp;04-Ordo-Graph'!$DI$3</definedName>
    <definedName name="Start_P13" localSheetId="2">'TS03&amp;04-Ordo-Graph'!$DS$3</definedName>
    <definedName name="Start_P13">'TS03&amp;04-Ordo-Graph'!$DS$3</definedName>
    <definedName name="Start_P14" localSheetId="2">'TS03&amp;04-Ordo-Graph'!$EC$3</definedName>
    <definedName name="Start_P14">'TS03&amp;04-Ordo-Graph'!$EC$3</definedName>
    <definedName name="Start_P2" localSheetId="2">'TS03&amp;04-Ordo-Graph'!$M$3</definedName>
    <definedName name="Start_P2">'TS03&amp;04-Ordo-Graph'!$M$3</definedName>
    <definedName name="Start_P3" localSheetId="2">'TS03&amp;04-Ordo-Graph'!$W$3</definedName>
    <definedName name="Start_P3">'TS03&amp;04-Ordo-Graph'!$W$3</definedName>
    <definedName name="Start_P4" localSheetId="2">'TS03&amp;04-Ordo-Graph'!$AG$3</definedName>
    <definedName name="Start_P4">'TS03&amp;04-Ordo-Graph'!$AG$3</definedName>
    <definedName name="Start_P5" localSheetId="2">'TS03&amp;04-Ordo-Graph'!$AQ$3</definedName>
    <definedName name="Start_P5">'TS03&amp;04-Ordo-Graph'!$AQ$3</definedName>
    <definedName name="Start_P6" localSheetId="2">'TS03&amp;04-Ordo-Graph'!$BA$3</definedName>
    <definedName name="Start_P6">'TS03&amp;04-Ordo-Graph'!$BA$3</definedName>
    <definedName name="Start_P7" localSheetId="2">'TS03&amp;04-Ordo-Graph'!$BK$3</definedName>
    <definedName name="Start_P7">'TS03&amp;04-Ordo-Graph'!$BK$3</definedName>
    <definedName name="Start_P8" localSheetId="2">'TS03&amp;04-Ordo-Graph'!$BU$3</definedName>
    <definedName name="Start_P8">'TS03&amp;04-Ordo-Graph'!$BU$3</definedName>
    <definedName name="Start_P9" localSheetId="2">'TS03&amp;04-Ordo-Graph'!$CE$3</definedName>
    <definedName name="Start_P9">'TS03&amp;04-Ordo-Graph'!$CE$3</definedName>
    <definedName name="Start_Pces1">'TS03&amp;04-Ordo-Graph'!$H$3</definedName>
    <definedName name="Start_Pces2">'TS03&amp;04-Ordo-Graph'!$R$3</definedName>
    <definedName name="Start_Pces3">'TS03&amp;04-Ordo-Graph'!$AB$3</definedName>
    <definedName name="Start_Pces4">'TS03&amp;04-Ordo-Graph'!$AL$3</definedName>
    <definedName name="Start_TaJ">'TS03&amp;04-Ordo-Graph'!$B$55</definedName>
    <definedName name="Start_TaJ_Rep">'TS03&amp;04-Ordo-Graph'!$B$66</definedName>
    <definedName name="Start_TaSA">'TS03&amp;04-Ordo-Graph'!$B$22</definedName>
    <definedName name="Start_TaSA_Rep">'TS03&amp;04-Ordo-Graph'!$B$33</definedName>
    <definedName name="Start_ToJ">'TS03&amp;04-Ordo-Graph'!$B$44</definedName>
    <definedName name="Start_ToSA">'TS03&amp;04-Ordo-Graph'!$B$11</definedName>
    <definedName name="TabGam_Pces">#REF!</definedName>
    <definedName name="Taux_AS">DonnéesProd!$D$36</definedName>
    <definedName name="Taux_Intérêt">DonnéesProd!$C$50</definedName>
    <definedName name="TauxHor_Contremaitre">DonnéesProd!$B$22</definedName>
    <definedName name="TauxHor_Machiniste">DonnéesProd!$B$25</definedName>
    <definedName name="TauxHor_Op_Ass">DonnéesProd!$B$24</definedName>
    <definedName name="TauxHor_Operateur">DonnéesProd!$B$23</definedName>
    <definedName name="TauxHor_Tech">DonnéesProd!$B$26</definedName>
    <definedName name="TauxHor_Tech_Entretien">DonnéesProd!$B$27</definedName>
    <definedName name="Taxes_Municip">DonnéesProd!$D$62</definedName>
    <definedName name="TbPceRng">'TS03&amp;04-Ordo-Tableau'!$C$2:$P$2</definedName>
    <definedName name="TbStartCell">'TS03&amp;04-Ordo-Tableau'!$C$2</definedName>
    <definedName name="Telephonie">DonnéesProd!$D$63</definedName>
    <definedName name="TempsCycleAssy">CalculsProd!$C$19</definedName>
    <definedName name="TempsCycleFab">CalculsProd!$B$19</definedName>
    <definedName name="TempsPauses">DonnéesProd!$D$16</definedName>
    <definedName name="TempsRepas">DonnéesProd!$D$17</definedName>
    <definedName name="Total_Admin">DonnéesProd!$D$34</definedName>
    <definedName name="Total_FF">DonnéesProd!$D$67</definedName>
    <definedName name="Total_Machinerie">DonnéesProd!$D$44</definedName>
    <definedName name="Total_Mise_de_Fond">DonnéesProd!$D$48</definedName>
    <definedName name="Total_MO">DonnéesProd!$D$28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1" i="14" l="1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70" i="9"/>
  <c r="E71" i="9"/>
  <c r="E72" i="9"/>
  <c r="E73" i="9"/>
  <c r="E74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G15" i="9"/>
  <c r="E16" i="9"/>
  <c r="E15" i="9"/>
  <c r="C15" i="8" l="1"/>
  <c r="C16" i="8"/>
  <c r="C17" i="8"/>
  <c r="C19" i="16"/>
  <c r="C17" i="16"/>
  <c r="C9" i="16"/>
  <c r="C8" i="16"/>
  <c r="D6" i="14"/>
  <c r="D3" i="14"/>
  <c r="L4" i="14"/>
  <c r="L3" i="14"/>
  <c r="C6" i="15"/>
  <c r="H7" i="15"/>
  <c r="C13" i="15"/>
  <c r="F17" i="15"/>
  <c r="F11" i="9"/>
  <c r="C12" i="15"/>
  <c r="H3" i="15"/>
  <c r="H4" i="15"/>
  <c r="C11" i="8"/>
  <c r="C10" i="8"/>
  <c r="C9" i="8"/>
  <c r="G15" i="5"/>
  <c r="B9" i="8"/>
  <c r="G14" i="5"/>
  <c r="G4" i="5" l="1"/>
  <c r="C76" i="5" s="1"/>
  <c r="C71" i="5"/>
  <c r="C72" i="5"/>
  <c r="C73" i="5"/>
  <c r="C70" i="5"/>
  <c r="C16" i="14"/>
  <c r="G48" i="12"/>
  <c r="E48" i="12"/>
  <c r="F48" i="12"/>
  <c r="H48" i="12"/>
  <c r="I48" i="12"/>
  <c r="J48" i="12"/>
  <c r="K48" i="12"/>
  <c r="L48" i="12"/>
  <c r="E47" i="12"/>
  <c r="F47" i="12"/>
  <c r="G47" i="12"/>
  <c r="H47" i="12"/>
  <c r="I47" i="12"/>
  <c r="J47" i="12"/>
  <c r="K47" i="12"/>
  <c r="L47" i="12"/>
  <c r="E46" i="12"/>
  <c r="F46" i="12"/>
  <c r="G46" i="12"/>
  <c r="H46" i="12"/>
  <c r="I46" i="12"/>
  <c r="J46" i="12"/>
  <c r="K46" i="12"/>
  <c r="L46" i="12"/>
  <c r="E45" i="12"/>
  <c r="F45" i="12"/>
  <c r="G45" i="12"/>
  <c r="H45" i="12"/>
  <c r="I45" i="12"/>
  <c r="J45" i="12"/>
  <c r="K45" i="12"/>
  <c r="L45" i="12"/>
  <c r="E44" i="12"/>
  <c r="F44" i="12"/>
  <c r="G44" i="12"/>
  <c r="H44" i="12"/>
  <c r="I44" i="12"/>
  <c r="J44" i="12"/>
  <c r="K44" i="12"/>
  <c r="L44" i="12"/>
  <c r="L43" i="12"/>
  <c r="K43" i="12"/>
  <c r="J43" i="12"/>
  <c r="I43" i="12"/>
  <c r="H43" i="12"/>
  <c r="G43" i="12"/>
  <c r="F43" i="12"/>
  <c r="E43" i="12"/>
  <c r="L42" i="12"/>
  <c r="K42" i="12"/>
  <c r="J42" i="12"/>
  <c r="I42" i="12"/>
  <c r="H42" i="12"/>
  <c r="G42" i="12"/>
  <c r="F42" i="12"/>
  <c r="E42" i="12"/>
  <c r="E41" i="12"/>
  <c r="F41" i="12"/>
  <c r="G41" i="12"/>
  <c r="H41" i="12"/>
  <c r="I41" i="12"/>
  <c r="J41" i="12"/>
  <c r="K41" i="12"/>
  <c r="L41" i="12"/>
  <c r="L40" i="12"/>
  <c r="K40" i="12"/>
  <c r="J40" i="12"/>
  <c r="I40" i="12"/>
  <c r="H40" i="12"/>
  <c r="G40" i="12"/>
  <c r="F40" i="12"/>
  <c r="D48" i="12"/>
  <c r="D47" i="12"/>
  <c r="D46" i="12"/>
  <c r="D45" i="12"/>
  <c r="D44" i="12"/>
  <c r="D43" i="12"/>
  <c r="D42" i="12"/>
  <c r="D41" i="12"/>
  <c r="D40" i="12"/>
  <c r="E40" i="12"/>
  <c r="C75" i="5" l="1"/>
  <c r="C74" i="5"/>
  <c r="C11" i="16"/>
  <c r="C6" i="8"/>
  <c r="C6" i="16"/>
  <c r="C13" i="16" s="1"/>
  <c r="B8" i="8"/>
  <c r="D12" i="14"/>
  <c r="D5" i="14"/>
  <c r="D4" i="14"/>
  <c r="C8" i="8" l="1"/>
  <c r="C10" i="15"/>
  <c r="C7" i="15"/>
  <c r="C11" i="15"/>
  <c r="C9" i="15"/>
  <c r="C8" i="15"/>
  <c r="C4" i="15"/>
  <c r="C3" i="15"/>
  <c r="F6" i="9" l="1"/>
  <c r="C7" i="8" l="1"/>
  <c r="D8" i="8"/>
  <c r="D7" i="8"/>
  <c r="D6" i="8"/>
  <c r="D5" i="8"/>
  <c r="CC33" i="1" l="1"/>
  <c r="CA33" i="1"/>
  <c r="BY33" i="1"/>
  <c r="BW33" i="1"/>
  <c r="BU33" i="1"/>
  <c r="BS33" i="1"/>
  <c r="BQ33" i="1"/>
  <c r="BO33" i="1"/>
  <c r="BM33" i="1"/>
  <c r="BK33" i="1"/>
  <c r="BI33" i="1"/>
  <c r="BG33" i="1"/>
  <c r="BE33" i="1"/>
  <c r="BC33" i="1"/>
  <c r="BA33" i="1"/>
  <c r="AY33" i="1"/>
  <c r="AW33" i="1"/>
  <c r="AU33" i="1"/>
  <c r="AS33" i="1"/>
  <c r="AQ33" i="1"/>
  <c r="AO33" i="1"/>
  <c r="AM33" i="1"/>
  <c r="AK33" i="1"/>
  <c r="AI33" i="1"/>
  <c r="AG33" i="1"/>
  <c r="AE33" i="1"/>
  <c r="AC33" i="1"/>
  <c r="AA33" i="1"/>
  <c r="Y33" i="1"/>
  <c r="W33" i="1"/>
  <c r="U33" i="1"/>
  <c r="S33" i="1"/>
  <c r="Q33" i="1"/>
  <c r="O33" i="1"/>
  <c r="M33" i="1"/>
  <c r="K33" i="1"/>
  <c r="I33" i="1"/>
  <c r="G33" i="1"/>
  <c r="E33" i="1"/>
  <c r="C33" i="1"/>
  <c r="CC22" i="1"/>
  <c r="CA22" i="1"/>
  <c r="BY22" i="1"/>
  <c r="BW22" i="1"/>
  <c r="BU22" i="1"/>
  <c r="BS22" i="1"/>
  <c r="BQ22" i="1"/>
  <c r="BO22" i="1"/>
  <c r="BM22" i="1"/>
  <c r="BK22" i="1"/>
  <c r="BI22" i="1"/>
  <c r="BG22" i="1"/>
  <c r="BE22" i="1"/>
  <c r="BC22" i="1"/>
  <c r="BA22" i="1"/>
  <c r="AY22" i="1"/>
  <c r="AW22" i="1"/>
  <c r="AU22" i="1"/>
  <c r="AS22" i="1"/>
  <c r="AQ22" i="1"/>
  <c r="AO22" i="1"/>
  <c r="AM22" i="1"/>
  <c r="AK22" i="1"/>
  <c r="AI22" i="1"/>
  <c r="AG22" i="1"/>
  <c r="AE22" i="1"/>
  <c r="AC22" i="1"/>
  <c r="AA22" i="1"/>
  <c r="Y22" i="1"/>
  <c r="W22" i="1"/>
  <c r="U22" i="1"/>
  <c r="S22" i="1"/>
  <c r="Q22" i="1"/>
  <c r="O22" i="1"/>
  <c r="M22" i="1"/>
  <c r="K22" i="1"/>
  <c r="I22" i="1"/>
  <c r="G22" i="1"/>
  <c r="E22" i="1"/>
  <c r="C22" i="1"/>
  <c r="B6" i="8"/>
  <c r="D12" i="5"/>
  <c r="D9" i="5"/>
  <c r="D76" i="5"/>
  <c r="D75" i="5"/>
  <c r="D74" i="5"/>
  <c r="D73" i="5"/>
  <c r="D72" i="5"/>
  <c r="D71" i="5"/>
  <c r="D70" i="5"/>
  <c r="D67" i="5"/>
  <c r="D33" i="5"/>
  <c r="D32" i="5"/>
  <c r="D31" i="5"/>
  <c r="D34" i="5" l="1"/>
  <c r="C5" i="15" s="1"/>
  <c r="D11" i="5"/>
  <c r="E70" i="5"/>
  <c r="D77" i="5"/>
  <c r="D26" i="5"/>
  <c r="D25" i="5"/>
  <c r="D27" i="5"/>
  <c r="E74" i="5"/>
  <c r="D24" i="5"/>
  <c r="D23" i="5"/>
  <c r="D22" i="5"/>
  <c r="D15" i="14" s="1"/>
  <c r="B7" i="8"/>
  <c r="B10" i="8"/>
  <c r="B38" i="12" l="1"/>
  <c r="B11" i="8"/>
  <c r="B17" i="8"/>
  <c r="D28" i="5"/>
  <c r="B16" i="8" l="1"/>
  <c r="B15" i="8" s="1"/>
  <c r="E3" i="14"/>
  <c r="E12" i="14"/>
  <c r="D43" i="5"/>
  <c r="D42" i="5"/>
  <c r="D40" i="5"/>
  <c r="D39" i="5"/>
  <c r="E50" i="12"/>
  <c r="F50" i="12"/>
  <c r="G50" i="12"/>
  <c r="H50" i="12"/>
  <c r="I50" i="12"/>
  <c r="J50" i="12"/>
  <c r="K50" i="12"/>
  <c r="L50" i="12"/>
  <c r="D50" i="12"/>
  <c r="M41" i="12"/>
  <c r="M42" i="12"/>
  <c r="M43" i="12"/>
  <c r="M44" i="12"/>
  <c r="M45" i="12"/>
  <c r="M46" i="12"/>
  <c r="M47" i="12"/>
  <c r="M48" i="12"/>
  <c r="M40" i="12"/>
  <c r="CC136" i="1"/>
  <c r="CA136" i="1"/>
  <c r="BY136" i="1"/>
  <c r="BW136" i="1"/>
  <c r="BU136" i="1"/>
  <c r="BS136" i="1"/>
  <c r="BQ136" i="1"/>
  <c r="BO136" i="1"/>
  <c r="BM136" i="1"/>
  <c r="BK136" i="1"/>
  <c r="BI136" i="1"/>
  <c r="BG136" i="1"/>
  <c r="BE136" i="1"/>
  <c r="BC136" i="1"/>
  <c r="BA136" i="1"/>
  <c r="AY136" i="1"/>
  <c r="AW136" i="1"/>
  <c r="AU136" i="1"/>
  <c r="AS136" i="1"/>
  <c r="AQ136" i="1"/>
  <c r="AO136" i="1"/>
  <c r="AM136" i="1"/>
  <c r="AK136" i="1"/>
  <c r="AI136" i="1"/>
  <c r="AG136" i="1"/>
  <c r="AE136" i="1"/>
  <c r="AC136" i="1"/>
  <c r="AA136" i="1"/>
  <c r="Y136" i="1"/>
  <c r="W136" i="1"/>
  <c r="U136" i="1"/>
  <c r="S136" i="1"/>
  <c r="Q136" i="1"/>
  <c r="O136" i="1"/>
  <c r="M136" i="1"/>
  <c r="K136" i="1"/>
  <c r="I136" i="1"/>
  <c r="G136" i="1"/>
  <c r="E136" i="1"/>
  <c r="C136" i="1"/>
  <c r="C4" i="16" l="1"/>
  <c r="G12" i="16" s="1"/>
  <c r="D44" i="5"/>
  <c r="D49" i="5"/>
  <c r="F3" i="9" l="1"/>
  <c r="F4" i="9" s="1"/>
  <c r="D47" i="5"/>
  <c r="D48" i="5"/>
  <c r="F5" i="9"/>
  <c r="F10" i="9" s="1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C10" i="2"/>
  <c r="D9" i="2"/>
  <c r="E9" i="2"/>
  <c r="F9" i="2"/>
  <c r="G9" i="2"/>
  <c r="H9" i="2"/>
  <c r="K9" i="2"/>
  <c r="M9" i="2"/>
  <c r="E8" i="2"/>
  <c r="H8" i="2"/>
  <c r="I8" i="2"/>
  <c r="J8" i="2"/>
  <c r="K8" i="2"/>
  <c r="L8" i="2"/>
  <c r="N8" i="2"/>
  <c r="O8" i="2"/>
  <c r="P8" i="2"/>
  <c r="D8" i="2"/>
  <c r="D7" i="2"/>
  <c r="E7" i="2"/>
  <c r="F7" i="2"/>
  <c r="G7" i="2"/>
  <c r="H7" i="2"/>
  <c r="I7" i="2"/>
  <c r="J7" i="2"/>
  <c r="K7" i="2"/>
  <c r="L7" i="2"/>
  <c r="M7" i="2"/>
  <c r="N7" i="2"/>
  <c r="O7" i="2"/>
  <c r="P7" i="2"/>
  <c r="C7" i="2"/>
  <c r="F15" i="9" l="1"/>
  <c r="I15" i="9" s="1"/>
  <c r="G10" i="9"/>
  <c r="CA97" i="1"/>
  <c r="BY97" i="1"/>
  <c r="BW97" i="1"/>
  <c r="BU97" i="1"/>
  <c r="BS97" i="1"/>
  <c r="CA77" i="1"/>
  <c r="BY77" i="1"/>
  <c r="BW77" i="1"/>
  <c r="BU77" i="1"/>
  <c r="BS77" i="1"/>
  <c r="CA66" i="1"/>
  <c r="BY66" i="1"/>
  <c r="BW66" i="1"/>
  <c r="BU66" i="1"/>
  <c r="BS66" i="1"/>
  <c r="CA55" i="1"/>
  <c r="BY55" i="1"/>
  <c r="BW55" i="1"/>
  <c r="BU55" i="1"/>
  <c r="BS55" i="1"/>
  <c r="CA44" i="1"/>
  <c r="BY44" i="1"/>
  <c r="BW44" i="1"/>
  <c r="BU44" i="1"/>
  <c r="BS44" i="1"/>
  <c r="C32" i="9" l="1"/>
  <c r="C40" i="9"/>
  <c r="C48" i="9"/>
  <c r="C56" i="9"/>
  <c r="C64" i="9"/>
  <c r="C72" i="9"/>
  <c r="C19" i="9"/>
  <c r="C16" i="9"/>
  <c r="D16" i="9" s="1"/>
  <c r="H16" i="9" s="1"/>
  <c r="F17" i="9" s="1"/>
  <c r="C27" i="9"/>
  <c r="C33" i="9"/>
  <c r="C41" i="9"/>
  <c r="C49" i="9"/>
  <c r="C57" i="9"/>
  <c r="C65" i="9"/>
  <c r="C73" i="9"/>
  <c r="C20" i="9"/>
  <c r="C15" i="9"/>
  <c r="D15" i="9" s="1"/>
  <c r="H15" i="9" s="1"/>
  <c r="F16" i="9" s="1"/>
  <c r="I16" i="9" s="1"/>
  <c r="C34" i="9"/>
  <c r="C42" i="9"/>
  <c r="C50" i="9"/>
  <c r="C58" i="9"/>
  <c r="C66" i="9"/>
  <c r="C74" i="9"/>
  <c r="C21" i="9"/>
  <c r="C35" i="9"/>
  <c r="C43" i="9"/>
  <c r="C51" i="9"/>
  <c r="C59" i="9"/>
  <c r="C67" i="9"/>
  <c r="C17" i="9"/>
  <c r="C22" i="9"/>
  <c r="C28" i="9"/>
  <c r="C36" i="9"/>
  <c r="C44" i="9"/>
  <c r="C52" i="9"/>
  <c r="C60" i="9"/>
  <c r="C68" i="9"/>
  <c r="C23" i="9"/>
  <c r="C29" i="9"/>
  <c r="C37" i="9"/>
  <c r="C45" i="9"/>
  <c r="C53" i="9"/>
  <c r="C61" i="9"/>
  <c r="C69" i="9"/>
  <c r="C24" i="9"/>
  <c r="C30" i="9"/>
  <c r="C38" i="9"/>
  <c r="C46" i="9"/>
  <c r="C54" i="9"/>
  <c r="C62" i="9"/>
  <c r="C70" i="9"/>
  <c r="C25" i="9"/>
  <c r="C31" i="9"/>
  <c r="C39" i="9"/>
  <c r="C47" i="9"/>
  <c r="C55" i="9"/>
  <c r="C63" i="9"/>
  <c r="C71" i="9"/>
  <c r="C18" i="9"/>
  <c r="C26" i="9"/>
  <c r="CC97" i="1"/>
  <c r="BQ97" i="1"/>
  <c r="BO97" i="1"/>
  <c r="BM97" i="1"/>
  <c r="BK97" i="1"/>
  <c r="BI97" i="1"/>
  <c r="BG97" i="1"/>
  <c r="BE97" i="1"/>
  <c r="BC97" i="1"/>
  <c r="BA97" i="1"/>
  <c r="AY97" i="1"/>
  <c r="AW97" i="1"/>
  <c r="AU97" i="1"/>
  <c r="AS97" i="1"/>
  <c r="AQ97" i="1"/>
  <c r="AO97" i="1"/>
  <c r="AM97" i="1"/>
  <c r="AK97" i="1"/>
  <c r="AI97" i="1"/>
  <c r="AG97" i="1"/>
  <c r="AE97" i="1"/>
  <c r="AC97" i="1"/>
  <c r="AA97" i="1"/>
  <c r="Y97" i="1"/>
  <c r="W97" i="1"/>
  <c r="U97" i="1"/>
  <c r="S97" i="1"/>
  <c r="Q97" i="1"/>
  <c r="O97" i="1"/>
  <c r="M97" i="1"/>
  <c r="K97" i="1"/>
  <c r="I97" i="1"/>
  <c r="G97" i="1"/>
  <c r="E97" i="1"/>
  <c r="C97" i="1"/>
  <c r="CC77" i="1"/>
  <c r="BQ77" i="1"/>
  <c r="BO77" i="1"/>
  <c r="BM77" i="1"/>
  <c r="BK77" i="1"/>
  <c r="BI77" i="1"/>
  <c r="BG77" i="1"/>
  <c r="BE77" i="1"/>
  <c r="BC77" i="1"/>
  <c r="BA77" i="1"/>
  <c r="AY77" i="1"/>
  <c r="AW77" i="1"/>
  <c r="AU77" i="1"/>
  <c r="AS77" i="1"/>
  <c r="AQ77" i="1"/>
  <c r="AO77" i="1"/>
  <c r="AM77" i="1"/>
  <c r="AK77" i="1"/>
  <c r="AI77" i="1"/>
  <c r="AG77" i="1"/>
  <c r="AE77" i="1"/>
  <c r="AC77" i="1"/>
  <c r="AA77" i="1"/>
  <c r="Y77" i="1"/>
  <c r="W77" i="1"/>
  <c r="U77" i="1"/>
  <c r="S77" i="1"/>
  <c r="Q77" i="1"/>
  <c r="O77" i="1"/>
  <c r="M77" i="1"/>
  <c r="K77" i="1"/>
  <c r="I77" i="1"/>
  <c r="G77" i="1"/>
  <c r="E77" i="1"/>
  <c r="C77" i="1"/>
  <c r="CC66" i="1"/>
  <c r="BQ66" i="1"/>
  <c r="BO66" i="1"/>
  <c r="BM66" i="1"/>
  <c r="BK66" i="1"/>
  <c r="BI66" i="1"/>
  <c r="BG66" i="1"/>
  <c r="BE66" i="1"/>
  <c r="BC66" i="1"/>
  <c r="BA66" i="1"/>
  <c r="AY66" i="1"/>
  <c r="AW66" i="1"/>
  <c r="AU66" i="1"/>
  <c r="AS66" i="1"/>
  <c r="AQ66" i="1"/>
  <c r="AO66" i="1"/>
  <c r="AM66" i="1"/>
  <c r="AK66" i="1"/>
  <c r="AI66" i="1"/>
  <c r="AG66" i="1"/>
  <c r="AE66" i="1"/>
  <c r="AC66" i="1"/>
  <c r="AA66" i="1"/>
  <c r="Y66" i="1"/>
  <c r="W66" i="1"/>
  <c r="U66" i="1"/>
  <c r="S66" i="1"/>
  <c r="Q66" i="1"/>
  <c r="O66" i="1"/>
  <c r="M66" i="1"/>
  <c r="K66" i="1"/>
  <c r="I66" i="1"/>
  <c r="G66" i="1"/>
  <c r="E66" i="1"/>
  <c r="C66" i="1"/>
  <c r="CC55" i="1"/>
  <c r="BQ55" i="1"/>
  <c r="BO55" i="1"/>
  <c r="BM55" i="1"/>
  <c r="BK55" i="1"/>
  <c r="BI55" i="1"/>
  <c r="BG55" i="1"/>
  <c r="BE55" i="1"/>
  <c r="BC55" i="1"/>
  <c r="BA55" i="1"/>
  <c r="AY55" i="1"/>
  <c r="AW55" i="1"/>
  <c r="AU55" i="1"/>
  <c r="AS55" i="1"/>
  <c r="AQ55" i="1"/>
  <c r="AO55" i="1"/>
  <c r="AM55" i="1"/>
  <c r="AK55" i="1"/>
  <c r="AI55" i="1"/>
  <c r="AG55" i="1"/>
  <c r="AE55" i="1"/>
  <c r="AC55" i="1"/>
  <c r="AA55" i="1"/>
  <c r="Y55" i="1"/>
  <c r="W55" i="1"/>
  <c r="U55" i="1"/>
  <c r="S55" i="1"/>
  <c r="Q55" i="1"/>
  <c r="O55" i="1"/>
  <c r="M55" i="1"/>
  <c r="K55" i="1"/>
  <c r="I55" i="1"/>
  <c r="G55" i="1"/>
  <c r="E55" i="1"/>
  <c r="C55" i="1"/>
  <c r="CC44" i="1"/>
  <c r="BQ44" i="1"/>
  <c r="BO44" i="1"/>
  <c r="BM44" i="1"/>
  <c r="BK44" i="1"/>
  <c r="BI44" i="1"/>
  <c r="BG44" i="1"/>
  <c r="BE44" i="1"/>
  <c r="BC44" i="1"/>
  <c r="BA44" i="1"/>
  <c r="AY44" i="1"/>
  <c r="AW44" i="1"/>
  <c r="AU44" i="1"/>
  <c r="AS44" i="1"/>
  <c r="AQ44" i="1"/>
  <c r="AO44" i="1"/>
  <c r="AM44" i="1"/>
  <c r="AK44" i="1"/>
  <c r="AI44" i="1"/>
  <c r="AG44" i="1"/>
  <c r="AE44" i="1"/>
  <c r="AC44" i="1"/>
  <c r="AA44" i="1"/>
  <c r="Y44" i="1"/>
  <c r="W44" i="1"/>
  <c r="U44" i="1"/>
  <c r="S44" i="1"/>
  <c r="Q44" i="1"/>
  <c r="O44" i="1"/>
  <c r="M44" i="1"/>
  <c r="K44" i="1"/>
  <c r="I44" i="1"/>
  <c r="G44" i="1"/>
  <c r="E44" i="1"/>
  <c r="C44" i="1"/>
  <c r="I17" i="9" l="1"/>
  <c r="D17" i="9"/>
  <c r="H17" i="9" s="1"/>
  <c r="F18" i="9" s="1"/>
  <c r="D18" i="9" s="1"/>
  <c r="H18" i="9" s="1"/>
  <c r="F19" i="9" s="1"/>
  <c r="D19" i="9" s="1"/>
  <c r="H19" i="9" s="1"/>
  <c r="F20" i="9" s="1"/>
  <c r="D20" i="9" s="1"/>
  <c r="H20" i="9" s="1"/>
  <c r="F21" i="9" s="1"/>
  <c r="I18" i="9" l="1"/>
  <c r="I19" i="9" s="1"/>
  <c r="I20" i="9" s="1"/>
  <c r="I21" i="9" s="1"/>
  <c r="D21" i="9"/>
  <c r="H21" i="9" s="1"/>
  <c r="F22" i="9" s="1"/>
  <c r="D22" i="9" s="1"/>
  <c r="H22" i="9" s="1"/>
  <c r="F23" i="9" s="1"/>
  <c r="D23" i="9" s="1"/>
  <c r="H23" i="9" s="1"/>
  <c r="I22" i="9" l="1"/>
  <c r="I23" i="9"/>
  <c r="F24" i="9"/>
  <c r="D24" i="9" l="1"/>
  <c r="H24" i="9" s="1"/>
  <c r="F25" i="9" s="1"/>
  <c r="D25" i="9" s="1"/>
  <c r="H25" i="9" s="1"/>
  <c r="F26" i="9" s="1"/>
  <c r="D26" i="9" s="1"/>
  <c r="H26" i="9" s="1"/>
  <c r="F27" i="9" s="1"/>
  <c r="D27" i="9" s="1"/>
  <c r="H27" i="9" s="1"/>
  <c r="I24" i="9"/>
  <c r="I25" i="9" s="1"/>
  <c r="I26" i="9" l="1"/>
  <c r="I27" i="9" s="1"/>
  <c r="F28" i="9"/>
  <c r="D28" i="9" l="1"/>
  <c r="H28" i="9" s="1"/>
  <c r="F29" i="9" s="1"/>
  <c r="D29" i="9" s="1"/>
  <c r="H29" i="9" s="1"/>
  <c r="F30" i="9" s="1"/>
  <c r="D30" i="9" s="1"/>
  <c r="H30" i="9" s="1"/>
  <c r="F31" i="9" s="1"/>
  <c r="D31" i="9" s="1"/>
  <c r="H31" i="9" s="1"/>
  <c r="I28" i="9"/>
  <c r="I29" i="9" s="1"/>
  <c r="I30" i="9" l="1"/>
  <c r="I31" i="9" s="1"/>
  <c r="F32" i="9"/>
  <c r="D32" i="9" s="1"/>
  <c r="H32" i="9" s="1"/>
  <c r="F33" i="9" s="1"/>
  <c r="D33" i="9" s="1"/>
  <c r="H33" i="9" s="1"/>
  <c r="F34" i="9" l="1"/>
  <c r="D34" i="9" s="1"/>
  <c r="H34" i="9" s="1"/>
  <c r="I32" i="9"/>
  <c r="I33" i="9" s="1"/>
  <c r="I34" i="9" s="1"/>
  <c r="F35" i="9" l="1"/>
  <c r="D35" i="9" s="1"/>
  <c r="H35" i="9" s="1"/>
  <c r="F36" i="9" s="1"/>
  <c r="D36" i="9" s="1"/>
  <c r="H36" i="9" s="1"/>
  <c r="F37" i="9" s="1"/>
  <c r="D37" i="9" s="1"/>
  <c r="H37" i="9" s="1"/>
  <c r="F38" i="9" l="1"/>
  <c r="D38" i="9" s="1"/>
  <c r="H38" i="9" s="1"/>
  <c r="F39" i="9" s="1"/>
  <c r="D39" i="9" s="1"/>
  <c r="H39" i="9" s="1"/>
  <c r="I35" i="9"/>
  <c r="I36" i="9" s="1"/>
  <c r="I37" i="9" s="1"/>
  <c r="I38" i="9" s="1"/>
  <c r="I39" i="9" l="1"/>
  <c r="F40" i="9"/>
  <c r="D40" i="9" s="1"/>
  <c r="H40" i="9" s="1"/>
  <c r="F41" i="9" l="1"/>
  <c r="D41" i="9" s="1"/>
  <c r="H41" i="9" s="1"/>
  <c r="F42" i="9" s="1"/>
  <c r="D42" i="9" s="1"/>
  <c r="H42" i="9" s="1"/>
  <c r="I40" i="9"/>
  <c r="I41" i="9" s="1"/>
  <c r="I42" i="9" l="1"/>
  <c r="F43" i="9"/>
  <c r="D43" i="9" s="1"/>
  <c r="H43" i="9" s="1"/>
  <c r="F44" i="9" s="1"/>
  <c r="D44" i="9" s="1"/>
  <c r="H44" i="9" s="1"/>
  <c r="F45" i="9" s="1"/>
  <c r="D45" i="9" s="1"/>
  <c r="H45" i="9" s="1"/>
  <c r="F46" i="9" s="1"/>
  <c r="D46" i="9" s="1"/>
  <c r="H46" i="9" s="1"/>
  <c r="F47" i="9" s="1"/>
  <c r="D47" i="9" s="1"/>
  <c r="H47" i="9" s="1"/>
  <c r="F48" i="9" s="1"/>
  <c r="D48" i="9" s="1"/>
  <c r="H48" i="9" s="1"/>
  <c r="F49" i="9" s="1"/>
  <c r="D49" i="9" s="1"/>
  <c r="H49" i="9" s="1"/>
  <c r="F50" i="9" s="1"/>
  <c r="D50" i="9" s="1"/>
  <c r="H50" i="9" s="1"/>
  <c r="F51" i="9" s="1"/>
  <c r="D51" i="9" s="1"/>
  <c r="H51" i="9" s="1"/>
  <c r="F52" i="9" s="1"/>
  <c r="D52" i="9" s="1"/>
  <c r="H52" i="9" s="1"/>
  <c r="F53" i="9" s="1"/>
  <c r="D53" i="9" s="1"/>
  <c r="H53" i="9" s="1"/>
  <c r="F54" i="9" s="1"/>
  <c r="D54" i="9" s="1"/>
  <c r="H54" i="9" s="1"/>
  <c r="F55" i="9" s="1"/>
  <c r="D55" i="9" s="1"/>
  <c r="H55" i="9" s="1"/>
  <c r="F56" i="9" s="1"/>
  <c r="D56" i="9" s="1"/>
  <c r="H56" i="9" s="1"/>
  <c r="F57" i="9" s="1"/>
  <c r="D57" i="9" s="1"/>
  <c r="H57" i="9" s="1"/>
  <c r="F58" i="9" s="1"/>
  <c r="D58" i="9" s="1"/>
  <c r="H58" i="9" s="1"/>
  <c r="F59" i="9" l="1"/>
  <c r="D59" i="9" s="1"/>
  <c r="H59" i="9" s="1"/>
  <c r="F60" i="9" s="1"/>
  <c r="D60" i="9" s="1"/>
  <c r="H60" i="9" s="1"/>
  <c r="I43" i="9"/>
  <c r="I44" i="9" s="1"/>
  <c r="I45" i="9" s="1"/>
  <c r="I46" i="9" s="1"/>
  <c r="I47" i="9" s="1"/>
  <c r="I48" i="9" s="1"/>
  <c r="I49" i="9" s="1"/>
  <c r="I50" i="9" s="1"/>
  <c r="I51" i="9" s="1"/>
  <c r="I52" i="9" s="1"/>
  <c r="I53" i="9" s="1"/>
  <c r="I54" i="9" s="1"/>
  <c r="I55" i="9" s="1"/>
  <c r="I56" i="9" s="1"/>
  <c r="I57" i="9" s="1"/>
  <c r="I58" i="9" s="1"/>
  <c r="I59" i="9" s="1"/>
  <c r="I60" i="9" l="1"/>
  <c r="F61" i="9"/>
  <c r="D61" i="9" s="1"/>
  <c r="H61" i="9" s="1"/>
  <c r="F62" i="9" l="1"/>
  <c r="D62" i="9" s="1"/>
  <c r="H62" i="9" s="1"/>
  <c r="F63" i="9" s="1"/>
  <c r="D63" i="9" s="1"/>
  <c r="H63" i="9" s="1"/>
  <c r="F64" i="9" s="1"/>
  <c r="D64" i="9" s="1"/>
  <c r="H64" i="9" s="1"/>
  <c r="I61" i="9"/>
  <c r="I62" i="9" s="1"/>
  <c r="I63" i="9" l="1"/>
  <c r="I64" i="9" s="1"/>
  <c r="F65" i="9"/>
  <c r="D65" i="9" s="1"/>
  <c r="H65" i="9" s="1"/>
  <c r="F66" i="9" s="1"/>
  <c r="D66" i="9" s="1"/>
  <c r="H66" i="9" s="1"/>
  <c r="I65" i="9"/>
  <c r="F67" i="9" l="1"/>
  <c r="D67" i="9" s="1"/>
  <c r="H67" i="9" s="1"/>
  <c r="F68" i="9" s="1"/>
  <c r="D68" i="9" s="1"/>
  <c r="H68" i="9" s="1"/>
  <c r="I66" i="9"/>
  <c r="I67" i="9" s="1"/>
  <c r="I68" i="9" l="1"/>
  <c r="F69" i="9"/>
  <c r="D69" i="9" s="1"/>
  <c r="H69" i="9" s="1"/>
  <c r="F70" i="9" l="1"/>
  <c r="D70" i="9" s="1"/>
  <c r="H70" i="9" s="1"/>
  <c r="I69" i="9"/>
  <c r="I70" i="9" s="1"/>
  <c r="F71" i="9" l="1"/>
  <c r="D71" i="9" s="1"/>
  <c r="H71" i="9" s="1"/>
  <c r="F72" i="9" s="1"/>
  <c r="D72" i="9" s="1"/>
  <c r="H72" i="9" s="1"/>
  <c r="F73" i="9" s="1"/>
  <c r="D73" i="9" s="1"/>
  <c r="H73" i="9" s="1"/>
  <c r="F74" i="9" s="1"/>
  <c r="D74" i="9" l="1"/>
  <c r="H74" i="9" s="1"/>
  <c r="I71" i="9"/>
  <c r="I72" i="9" s="1"/>
  <c r="I73" i="9" s="1"/>
  <c r="I74" i="9" s="1"/>
  <c r="C19" i="8" l="1"/>
  <c r="C17" i="15" l="1"/>
  <c r="C3" i="16"/>
  <c r="C14" i="16" l="1"/>
  <c r="C15" i="16" s="1"/>
  <c r="C18" i="1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Couillard Sylvain</author>
  </authors>
  <commentList>
    <comment ref="E69" authorId="0" shapeId="0" xr:uid="{49B6CCEA-987B-4C48-B560-7D58D1B91771}">
      <text>
        <r>
          <rPr>
            <sz val="9"/>
            <color indexed="81"/>
            <rFont val="Tahoma"/>
            <family val="2"/>
          </rPr>
          <t xml:space="preserve">Sous-total unitaire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Couillard Sylvain</author>
  </authors>
  <commentList>
    <comment ref="B19" authorId="0" shapeId="0" xr:uid="{0403139C-C00F-4754-9320-F896D5812F0D}">
      <text>
        <r>
          <rPr>
            <sz val="9"/>
            <color indexed="81"/>
            <rFont val="Tahoma"/>
            <family val="2"/>
          </rPr>
          <t>Mettre le temps obtenu à l'onglet "TS03&amp;04-Ordo-Tableau</t>
        </r>
      </text>
    </comment>
    <comment ref="C19" authorId="0" shapeId="0" xr:uid="{0EC5001F-50FD-4A7C-91FA-B0E3A8DB2B28}">
      <text>
        <r>
          <rPr>
            <sz val="9"/>
            <color indexed="81"/>
            <rFont val="Tahoma"/>
            <family val="2"/>
          </rPr>
          <t>Pour le cours, nous faisons l'hypothèse que nous atteignons exactement le temps de cycle cible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Couillard Sylvain</author>
  </authors>
  <commentList>
    <comment ref="CL1" authorId="0" shapeId="0" xr:uid="{3B205E9E-4CA8-406F-BBE6-279EA09F8111}">
      <text>
        <r>
          <rPr>
            <sz val="9"/>
            <color indexed="81"/>
            <rFont val="Tahoma"/>
            <family val="2"/>
          </rPr>
          <t>Le graphique HM initial doit être plus court que le TC cible car il reste les employés à retrancher.</t>
        </r>
      </text>
    </comment>
    <comment ref="B11" authorId="0" shapeId="0" xr:uid="{8028212F-096C-4498-8821-5749E1A09CC0}">
      <text>
        <r>
          <rPr>
            <sz val="9"/>
            <color indexed="81"/>
            <rFont val="Tahoma"/>
            <family val="2"/>
          </rPr>
          <t xml:space="preserve">Temps total
</t>
        </r>
      </text>
    </comment>
    <comment ref="B22" authorId="0" shapeId="0" xr:uid="{17985BA0-F113-4228-BE1D-666A7C37E4A7}">
      <text>
        <r>
          <rPr>
            <sz val="9"/>
            <color indexed="81"/>
            <rFont val="Tahoma"/>
            <family val="2"/>
          </rPr>
          <t xml:space="preserve">Temps total
</t>
        </r>
      </text>
    </comment>
    <comment ref="B33" authorId="0" shapeId="0" xr:uid="{DDB084B3-E82D-483D-B401-B3B635DF1528}">
      <text>
        <r>
          <rPr>
            <sz val="9"/>
            <color indexed="81"/>
            <rFont val="Tahoma"/>
            <family val="2"/>
          </rPr>
          <t xml:space="preserve">Temps total
</t>
        </r>
      </text>
    </comment>
    <comment ref="B44" authorId="0" shapeId="0" xr:uid="{87F8B39F-AEE7-4BE1-B859-1E768CB07E48}">
      <text>
        <r>
          <rPr>
            <sz val="9"/>
            <color indexed="81"/>
            <rFont val="Tahoma"/>
            <family val="2"/>
          </rPr>
          <t xml:space="preserve">Temps total
</t>
        </r>
      </text>
    </comment>
    <comment ref="B55" authorId="0" shapeId="0" xr:uid="{0AEB4842-11A3-4B58-B0AB-16B58CB18438}">
      <text>
        <r>
          <rPr>
            <sz val="9"/>
            <color indexed="81"/>
            <rFont val="Tahoma"/>
            <family val="2"/>
          </rPr>
          <t xml:space="preserve">Temps total
</t>
        </r>
      </text>
    </comment>
    <comment ref="B66" authorId="0" shapeId="0" xr:uid="{4C0CA7B7-D240-4271-87FC-CD3C32F19A51}">
      <text>
        <r>
          <rPr>
            <sz val="9"/>
            <color indexed="81"/>
            <rFont val="Tahoma"/>
            <family val="2"/>
          </rPr>
          <t xml:space="preserve">Temps total
</t>
        </r>
      </text>
    </comment>
    <comment ref="Y76" authorId="0" shapeId="0" xr:uid="{992200C9-E268-4174-8079-6D98D22C123A}">
      <text>
        <r>
          <rPr>
            <sz val="9"/>
            <color indexed="81"/>
            <rFont val="Tahoma"/>
            <family val="2"/>
          </rPr>
          <t xml:space="preserve">Inscrire ici quel votre ordonnancement préférable.
</t>
        </r>
      </text>
    </comment>
    <comment ref="B77" authorId="0" shapeId="0" xr:uid="{88EA4998-00D2-41AE-9C71-0590E6C11302}">
      <text>
        <r>
          <rPr>
            <sz val="9"/>
            <color indexed="81"/>
            <rFont val="Tahoma"/>
            <family val="2"/>
          </rPr>
          <t>On vise un temps plus court que le TC cible, surtout si les TMC sont longs</t>
        </r>
      </text>
    </comment>
    <comment ref="B97" authorId="0" shapeId="0" xr:uid="{4B9E3538-F7C4-48AC-9282-D1C8B9FBCA6D}">
      <text>
        <r>
          <rPr>
            <sz val="9"/>
            <color indexed="81"/>
            <rFont val="Tahoma"/>
            <family val="2"/>
          </rPr>
          <t>Le graphique HM initial doit être plus court que le TC cible car il reste les employés à retrancher.</t>
        </r>
      </text>
    </comment>
    <comment ref="B136" authorId="0" shapeId="0" xr:uid="{6C2AE87E-41ED-402B-916C-FE18F2F62201}">
      <text>
        <r>
          <rPr>
            <sz val="9"/>
            <color indexed="81"/>
            <rFont val="Tahoma"/>
            <family val="2"/>
          </rPr>
          <t>Le graphique HM final doit être plus court que le TC cible.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Couillard Sylvain</author>
  </authors>
  <commentList>
    <comment ref="D2" authorId="0" shapeId="0" xr:uid="{224C5122-25FA-44E8-8DE5-E8A1462FC628}">
      <text>
        <r>
          <rPr>
            <sz val="9"/>
            <color indexed="81"/>
            <rFont val="Tahoma"/>
            <family val="2"/>
          </rPr>
          <t>Si requis</t>
        </r>
      </text>
    </comment>
  </commentList>
</comments>
</file>

<file path=xl/sharedStrings.xml><?xml version="1.0" encoding="utf-8"?>
<sst xmlns="http://schemas.openxmlformats.org/spreadsheetml/2006/main" count="695" uniqueCount="400">
  <si>
    <t>241-A64-VM  Gestion Opérationnelle - Ordonnancement</t>
  </si>
  <si>
    <t>TOTAL</t>
  </si>
  <si>
    <t>X</t>
  </si>
  <si>
    <t>Y</t>
  </si>
  <si>
    <t>X/Y</t>
  </si>
  <si>
    <t>Placement au plus tôt par ordre de pièce et sans algorithme</t>
  </si>
  <si>
    <t>Placement au plus tard par ordre de pièce et sans algorithme</t>
  </si>
  <si>
    <t>Phase</t>
  </si>
  <si>
    <t>Temps</t>
  </si>
  <si>
    <t>M1</t>
  </si>
  <si>
    <t>M2</t>
  </si>
  <si>
    <t>M3</t>
  </si>
  <si>
    <t>M4</t>
  </si>
  <si>
    <t>P1</t>
  </si>
  <si>
    <t>P2</t>
  </si>
  <si>
    <t>P3</t>
  </si>
  <si>
    <t>P4</t>
  </si>
  <si>
    <t xml:space="preserve">Ordonnancement sans algorithme +tôt </t>
  </si>
  <si>
    <t>Mach</t>
  </si>
  <si>
    <t>P5</t>
  </si>
  <si>
    <t>P6</t>
  </si>
  <si>
    <t>P7</t>
  </si>
  <si>
    <t>P8</t>
  </si>
  <si>
    <t>P9</t>
  </si>
  <si>
    <t>P10</t>
  </si>
  <si>
    <t>P11</t>
  </si>
  <si>
    <t>P12</t>
  </si>
  <si>
    <t>Placement au plus tard par ordre de pièce et sans algorithme reporté</t>
  </si>
  <si>
    <t>P13</t>
  </si>
  <si>
    <t>P14</t>
  </si>
  <si>
    <t>Repas</t>
  </si>
  <si>
    <t>Pauses</t>
  </si>
  <si>
    <t>Jours fermés (vacances)</t>
  </si>
  <si>
    <t>Période (années)</t>
  </si>
  <si>
    <t>Données Production</t>
  </si>
  <si>
    <t>Marge bénéficiaire</t>
  </si>
  <si>
    <t>Électricité d'usine</t>
  </si>
  <si>
    <t>Visserie</t>
  </si>
  <si>
    <t>Financement (%)</t>
  </si>
  <si>
    <t>Fraiseuse CNC</t>
  </si>
  <si>
    <t>Tour Fraiseur</t>
  </si>
  <si>
    <t>Fraiseuse manuelle</t>
  </si>
  <si>
    <t>Tour manuel</t>
  </si>
  <si>
    <t>Scie</t>
  </si>
  <si>
    <t>Avantages sociaux</t>
  </si>
  <si>
    <t>Frais Variables</t>
  </si>
  <si>
    <t xml:space="preserve">Entretien bâtiment </t>
  </si>
  <si>
    <t>Assurances</t>
  </si>
  <si>
    <t>Taxes municipales</t>
  </si>
  <si>
    <t>A/S bureaux</t>
  </si>
  <si>
    <t>Salaires bureaux</t>
  </si>
  <si>
    <t>Électricité pour bureaux</t>
  </si>
  <si>
    <t>Loyer</t>
  </si>
  <si>
    <t>Calculs Production</t>
  </si>
  <si>
    <t>Intérêt cum</t>
  </si>
  <si>
    <t>Capital restant</t>
  </si>
  <si>
    <t>Paiement</t>
  </si>
  <si>
    <t>Financement</t>
  </si>
  <si>
    <t>Description</t>
  </si>
  <si>
    <t>#</t>
  </si>
  <si>
    <t>DE</t>
  </si>
  <si>
    <t>VERS</t>
  </si>
  <si>
    <t>Bruts moulés en aluminium</t>
  </si>
  <si>
    <t>Pièces moulées en plastique</t>
  </si>
  <si>
    <t>Matériaux pour pièces usinées</t>
  </si>
  <si>
    <t>Traitement intérieur de bielle</t>
  </si>
  <si>
    <t>Hélice "Master Airscrew" #MA0740</t>
  </si>
  <si>
    <t>Bougie "K&amp;B Manufacturing" #7311</t>
  </si>
  <si>
    <t>Directeur</t>
  </si>
  <si>
    <t>Acheteur</t>
  </si>
  <si>
    <t>Adjointe</t>
  </si>
  <si>
    <t>Homme-Machine - Graphique Initial</t>
  </si>
  <si>
    <t>Tableau des gammes</t>
  </si>
  <si>
    <t>Numéro de</t>
  </si>
  <si>
    <t>pièce</t>
  </si>
  <si>
    <t>Poste</t>
  </si>
  <si>
    <t># du</t>
  </si>
  <si>
    <t>poste</t>
  </si>
  <si>
    <t>Assemblage</t>
  </si>
  <si>
    <t>Tableau des intensités de trafic</t>
  </si>
  <si>
    <t>Partent de</t>
  </si>
  <si>
    <t>Aboutissent à</t>
  </si>
  <si>
    <t>Entretien machines</t>
  </si>
  <si>
    <t>Directs</t>
  </si>
  <si>
    <t>Indirects</t>
  </si>
  <si>
    <t>Récapitulatif</t>
  </si>
  <si>
    <t>Frais Fixes annuels</t>
  </si>
  <si>
    <t>Frais Variables annuels</t>
  </si>
  <si>
    <t>Prix de vente unitaire</t>
  </si>
  <si>
    <t>Qté vendue sur 5 ans</t>
  </si>
  <si>
    <t>Taux intérêt</t>
  </si>
  <si>
    <t>Disposition déchets</t>
  </si>
  <si>
    <t xml:space="preserve">Machinerie </t>
  </si>
  <si>
    <t>Coût Emprunt</t>
  </si>
  <si>
    <t>Opérateurs (assy)</t>
  </si>
  <si>
    <t>Opérateurs (prod)</t>
  </si>
  <si>
    <t>Technicien (prod)</t>
  </si>
  <si>
    <t>Technicien (entretien)</t>
  </si>
  <si>
    <t>Contremaître</t>
  </si>
  <si>
    <t>Outils consommables</t>
  </si>
  <si>
    <t>Placement au plus tard avec l'algorithme Johnson généralisé reporté : P5 - P14 - P11 - P13 - P2 - P9 - P10 - P6 - P3 - P4 - P12 - P7 - P1 - P8</t>
  </si>
  <si>
    <t>Placement au plus tard avec l'algorithme Johnson généralisé : P5 - P14 - P11 - P13 - P2 - P9 - P10 - P6 - P3 - P4 - P12 - P7 - P1 - P8</t>
  </si>
  <si>
    <t>Placement au plus tôt avec l'algorithme Johnson généralisé : P5 - P14 - P11 - P13 - P2 - P9 - P10 - P6 - P3 - P4 - P12 - P7 - P1 - P8</t>
  </si>
  <si>
    <t>Téléphonie</t>
  </si>
  <si>
    <t>Point mort annuel</t>
  </si>
  <si>
    <t>Point mort pour la durée du contrat</t>
  </si>
  <si>
    <t>Période de remboursement (mois)</t>
  </si>
  <si>
    <t>mois</t>
  </si>
  <si>
    <t>i</t>
  </si>
  <si>
    <t>ii</t>
  </si>
  <si>
    <t>iii</t>
  </si>
  <si>
    <t>iv</t>
  </si>
  <si>
    <t>v</t>
  </si>
  <si>
    <t>vi</t>
  </si>
  <si>
    <t>vii</t>
  </si>
  <si>
    <t>viii</t>
  </si>
  <si>
    <t>ix</t>
  </si>
  <si>
    <t>Longueur du bras (décrire l'atteinte par un arc de cercle, vue de plan)</t>
  </si>
  <si>
    <t>Longueur coude-main (décrire l'atteinte par un arc de cercle, vue de plan)</t>
  </si>
  <si>
    <t>Longueur sol-creux poplités</t>
  </si>
  <si>
    <t>Longueur fesses-creux-poplités</t>
  </si>
  <si>
    <t>Longueur yeux-siège</t>
  </si>
  <si>
    <t>Largeur hanches</t>
  </si>
  <si>
    <t>Largeur des épaules</t>
  </si>
  <si>
    <t>Hauteur sol-genoux</t>
  </si>
  <si>
    <t>Hauteur siège-coude</t>
  </si>
  <si>
    <t>Femme</t>
  </si>
  <si>
    <t>Homme</t>
  </si>
  <si>
    <t>Lettre</t>
  </si>
  <si>
    <t>Dimensions en po</t>
  </si>
  <si>
    <t>Page</t>
  </si>
  <si>
    <t>Temps arrêt (heures)</t>
  </si>
  <si>
    <t>Efficacité de production</t>
  </si>
  <si>
    <t>Main-d'œuvre</t>
  </si>
  <si>
    <t>Salaires admin</t>
  </si>
  <si>
    <t>Machinerie</t>
  </si>
  <si>
    <t>Dépenses courantes</t>
  </si>
  <si>
    <t>Nb</t>
  </si>
  <si>
    <t>Taux horaire</t>
  </si>
  <si>
    <t>Total</t>
  </si>
  <si>
    <t>%</t>
  </si>
  <si>
    <t>Mise de fond (%)</t>
  </si>
  <si>
    <t>Taux intérêt (%)</t>
  </si>
  <si>
    <t>Frais fixes</t>
  </si>
  <si>
    <t>Rejet au Ctrl qualité (%)</t>
  </si>
  <si>
    <t>Efficacité de production (%)</t>
  </si>
  <si>
    <t>Nb jours/semaine</t>
  </si>
  <si>
    <t>Nb jours fériés/année</t>
  </si>
  <si>
    <t>Nb quarts fabrication /jour</t>
  </si>
  <si>
    <t>Nb quarts assemblage /jour</t>
  </si>
  <si>
    <t>Nb heures de présence /quart</t>
  </si>
  <si>
    <t>Salaire annuel</t>
  </si>
  <si>
    <t>Matière première par moteur</t>
  </si>
  <si>
    <t>Coût unitaire</t>
  </si>
  <si>
    <t>Nb total à lancer par année</t>
  </si>
  <si>
    <t>% bons moteurs /an</t>
  </si>
  <si>
    <t>Heures totales travail /an</t>
  </si>
  <si>
    <t>Fabrication</t>
  </si>
  <si>
    <t>Nb/jour</t>
  </si>
  <si>
    <t>Nb/hre</t>
  </si>
  <si>
    <t>Nb/min</t>
  </si>
  <si>
    <t>Nb de lignes de production</t>
  </si>
  <si>
    <t>sec/mot</t>
  </si>
  <si>
    <t>min/mot</t>
  </si>
  <si>
    <t>hres/mot</t>
  </si>
  <si>
    <t>Machiniste (prod)</t>
  </si>
  <si>
    <t>Valeur de revente à la fin (%)</t>
  </si>
  <si>
    <t>Instruction : Laisser les lignes des employés retranchés visibles et les afficher en gris</t>
  </si>
  <si>
    <t xml:space="preserve">Ordonnancement sans algorithme +tard </t>
  </si>
  <si>
    <t>Ordonnancement sans algorithme +tard reporté</t>
  </si>
  <si>
    <t xml:space="preserve">Ordonnancement Johnson +tôt </t>
  </si>
  <si>
    <t xml:space="preserve">Ordonnancement Johnson +tard </t>
  </si>
  <si>
    <t xml:space="preserve">Ordonnancement Johnson +tard reporté </t>
  </si>
  <si>
    <t>Ordonnancement préférable entre les 6 options</t>
  </si>
  <si>
    <t xml:space="preserve">L'ordre selon Johnson est : </t>
  </si>
  <si>
    <t>Temps d'utilisation des machines :</t>
  </si>
  <si>
    <t>min</t>
  </si>
  <si>
    <t>Ordonnancement Nb machines optimal selon</t>
  </si>
  <si>
    <t>Conclusion</t>
  </si>
  <si>
    <t>Indiquez comment vous allez utiliser l'information issue du tableau des intensités de trafic.</t>
  </si>
  <si>
    <t>Pièce</t>
  </si>
  <si>
    <t>Coût d'emprunt</t>
  </si>
  <si>
    <t>Montant</t>
  </si>
  <si>
    <t>Mise de fonds</t>
  </si>
  <si>
    <t>Emprunt</t>
  </si>
  <si>
    <t>Amortissement (nb années)</t>
  </si>
  <si>
    <t>Période (par année)</t>
  </si>
  <si>
    <t>Mensualité</t>
  </si>
  <si>
    <t xml:space="preserve">Capital </t>
  </si>
  <si>
    <t>Intérêts</t>
  </si>
  <si>
    <t>Fonction Excel</t>
  </si>
  <si>
    <t>"À bras"</t>
  </si>
  <si>
    <t>Total Coûts Variables annuels</t>
  </si>
  <si>
    <t>Total Coûts Fixes Annuels</t>
  </si>
  <si>
    <t>Frais Fixes Annuels</t>
  </si>
  <si>
    <t>Sous-totaux</t>
  </si>
  <si>
    <t>Montants</t>
  </si>
  <si>
    <t>Bénéfices sur 5 ans</t>
  </si>
  <si>
    <t>moteurs</t>
  </si>
  <si>
    <t>Moteurs vendus annuellement</t>
  </si>
  <si>
    <t>Temps_réel de fab</t>
  </si>
  <si>
    <t>Nb déplacements</t>
  </si>
  <si>
    <t>Nb sur période visée</t>
  </si>
  <si>
    <t>Jours travaillés par an et par employé</t>
  </si>
  <si>
    <t>Jours payés par an et par employé</t>
  </si>
  <si>
    <t>Heures travaillées par an et par employé</t>
  </si>
  <si>
    <t>Heures payées par an et par employé</t>
  </si>
  <si>
    <t>Nombre de moteurs à produire</t>
  </si>
  <si>
    <t>Ss-total</t>
  </si>
  <si>
    <t>Temps de cycle cible</t>
  </si>
  <si>
    <t>Autres frais fixes (ex. gestion des déchets)</t>
  </si>
  <si>
    <t>Source</t>
  </si>
  <si>
    <t>Brouillon non-corrigé</t>
  </si>
  <si>
    <t>Algorithme de Johnson généralisé</t>
  </si>
  <si>
    <t>Méthode des chaînons</t>
  </si>
  <si>
    <t>Coût de revient unitaire</t>
  </si>
  <si>
    <t>Revenus totaux</t>
  </si>
  <si>
    <t>Marge bénéficiaire nette</t>
  </si>
  <si>
    <t>M1.1</t>
  </si>
  <si>
    <t>Op1.1</t>
  </si>
  <si>
    <t>M2.1</t>
  </si>
  <si>
    <t>M3.1</t>
  </si>
  <si>
    <t>M4.1</t>
  </si>
  <si>
    <t>M1.2</t>
  </si>
  <si>
    <t>Op1.2</t>
  </si>
  <si>
    <t>M2.2</t>
  </si>
  <si>
    <t>Ma 2.2</t>
  </si>
  <si>
    <t>Ma 2.1</t>
  </si>
  <si>
    <t>M 3.1</t>
  </si>
  <si>
    <t>M 3.2</t>
  </si>
  <si>
    <t>M 4.1</t>
  </si>
  <si>
    <t>Tech 4.1</t>
  </si>
  <si>
    <t>M 4.2</t>
  </si>
  <si>
    <t>Tech 4.2</t>
  </si>
  <si>
    <t>Tech 3.1</t>
  </si>
  <si>
    <t>Tech 3.2</t>
  </si>
  <si>
    <t>M3.2</t>
  </si>
  <si>
    <t>M4.2</t>
  </si>
  <si>
    <t>M 1.1</t>
  </si>
  <si>
    <t>A</t>
  </si>
  <si>
    <t>B</t>
  </si>
  <si>
    <t>C</t>
  </si>
  <si>
    <t>D</t>
  </si>
  <si>
    <t>E</t>
  </si>
  <si>
    <t>F</t>
  </si>
  <si>
    <t>G</t>
  </si>
  <si>
    <t>INV</t>
  </si>
  <si>
    <t>Scie à ruban</t>
  </si>
  <si>
    <t>Tour manuel Mil.</t>
  </si>
  <si>
    <t>Tour-Fraiseur</t>
  </si>
  <si>
    <t>Fraiseur Vert</t>
  </si>
  <si>
    <t>P07</t>
  </si>
  <si>
    <t>P01</t>
  </si>
  <si>
    <t>P08</t>
  </si>
  <si>
    <t>P05</t>
  </si>
  <si>
    <t>P02</t>
  </si>
  <si>
    <t>P09</t>
  </si>
  <si>
    <t>P06</t>
  </si>
  <si>
    <t>P03</t>
  </si>
  <si>
    <t>P04</t>
  </si>
  <si>
    <t>1 operateur par quart donc deux quart/jour =2op</t>
  </si>
  <si>
    <t>1 machiniste par quart donc deux quart/jour =2ma</t>
  </si>
  <si>
    <t>1tech par quart donc deux quart/jour =2tech</t>
  </si>
  <si>
    <t>0=SUMIF($d24:$q24;"="&amp;E$39;$D$34:$Q34$)</t>
  </si>
  <si>
    <t>INV-m1.2</t>
  </si>
  <si>
    <t>INV-m1.1</t>
  </si>
  <si>
    <t>Inv-m3,2</t>
  </si>
  <si>
    <t xml:space="preserve">Prio. INV  </t>
  </si>
  <si>
    <t>M 3.2-LIV</t>
  </si>
  <si>
    <t>M 4.1-LIV</t>
  </si>
  <si>
    <t>M 4.2-LIV</t>
  </si>
  <si>
    <t>PRIO 3</t>
  </si>
  <si>
    <t>PRIO 4</t>
  </si>
  <si>
    <t>I</t>
  </si>
  <si>
    <t>M2-M4.1</t>
  </si>
  <si>
    <t>M3.1-M4.2</t>
  </si>
  <si>
    <t>Le nombre d'heures est erroné. Il faut prendre en compte qu'il y a des pauses-repas et des pauses payées pendant lesquelles les employés ne travaillent pas.</t>
  </si>
  <si>
    <t>Vous n'avez pas inscrit les temps demandé à la colonne B pour chaque Ordo</t>
  </si>
  <si>
    <t>Pour avoir les quantités et $ annuels, que devriez-vous faire?</t>
  </si>
  <si>
    <t>Attention aux éléments récupérés des moteurs qui ne passent pas le ctrl de la qualté</t>
  </si>
  <si>
    <t>Pourquoi ne pas avoir rempli la partie Assemblage?</t>
  </si>
  <si>
    <t>J'en ai parlé en classe…</t>
  </si>
  <si>
    <t>par années</t>
  </si>
  <si>
    <t>l'algorithme de johnson reporté</t>
  </si>
  <si>
    <t>Homme-Machine - Graphique  Final</t>
  </si>
  <si>
    <t>ASSY</t>
  </si>
  <si>
    <t>matiere 1er</t>
  </si>
  <si>
    <t>Cv</t>
  </si>
  <si>
    <t>outils perissable</t>
  </si>
  <si>
    <t>elect prod</t>
  </si>
  <si>
    <t>CI</t>
  </si>
  <si>
    <t>transport</t>
  </si>
  <si>
    <t>manutention</t>
  </si>
  <si>
    <t>contremaitre de prod</t>
  </si>
  <si>
    <t>CHECK FOR CELL UNIT</t>
  </si>
  <si>
    <t>outils consommables</t>
  </si>
  <si>
    <t>Entretien</t>
  </si>
  <si>
    <t>a/s</t>
  </si>
  <si>
    <t>LEGENDE:</t>
  </si>
  <si>
    <r>
      <t>→</t>
    </r>
    <r>
      <rPr>
        <sz val="14"/>
        <rFont val="Calibri"/>
        <family val="2"/>
        <scheme val="minor"/>
      </rPr>
      <t>X</t>
    </r>
    <r>
      <rPr>
        <sz val="8"/>
        <rFont val="Calibri"/>
        <family val="2"/>
        <scheme val="minor"/>
      </rPr>
      <t>pm</t>
    </r>
    <r>
      <rPr>
        <sz val="11"/>
        <rFont val="Calibri"/>
        <family val="2"/>
        <scheme val="minor"/>
      </rPr>
      <t>=</t>
    </r>
    <r>
      <rPr>
        <sz val="14"/>
        <rFont val="Calibri"/>
        <family val="2"/>
        <scheme val="minor"/>
      </rPr>
      <t>Cf</t>
    </r>
    <r>
      <rPr>
        <sz val="8"/>
        <rFont val="Calibri"/>
        <family val="2"/>
        <scheme val="minor"/>
      </rPr>
      <t>totaux</t>
    </r>
    <r>
      <rPr>
        <sz val="11"/>
        <rFont val="Calibri"/>
        <family val="2"/>
        <scheme val="minor"/>
      </rPr>
      <t>+Profit/</t>
    </r>
    <r>
      <rPr>
        <sz val="14"/>
        <rFont val="Calibri"/>
        <family val="2"/>
        <scheme val="minor"/>
      </rPr>
      <t>Pv</t>
    </r>
    <r>
      <rPr>
        <sz val="8"/>
        <rFont val="Calibri"/>
        <family val="2"/>
        <scheme val="minor"/>
      </rPr>
      <t>uni</t>
    </r>
    <r>
      <rPr>
        <sz val="11"/>
        <rFont val="Calibri"/>
        <family val="2"/>
        <scheme val="minor"/>
      </rPr>
      <t>t-</t>
    </r>
    <r>
      <rPr>
        <sz val="14"/>
        <rFont val="Calibri"/>
        <family val="2"/>
        <scheme val="minor"/>
      </rPr>
      <t>Cv</t>
    </r>
    <r>
      <rPr>
        <sz val="8"/>
        <rFont val="Calibri"/>
        <family val="2"/>
        <scheme val="minor"/>
      </rPr>
      <t>unit</t>
    </r>
  </si>
  <si>
    <t xml:space="preserve">Prio  ASSY </t>
  </si>
  <si>
    <t>O</t>
  </si>
  <si>
    <t>U</t>
  </si>
  <si>
    <t>M1,2-M3,1</t>
  </si>
  <si>
    <t>M2-ASSY</t>
  </si>
  <si>
    <t>NON PRIORITAIRE</t>
  </si>
  <si>
    <t>INV-M2</t>
  </si>
  <si>
    <t>INV-4.1</t>
  </si>
  <si>
    <t>INV-M3.1</t>
  </si>
  <si>
    <t>INV-4.2</t>
  </si>
  <si>
    <t>INDESIRABLE</t>
  </si>
  <si>
    <t>INV-ASSY</t>
  </si>
  <si>
    <t>,</t>
  </si>
  <si>
    <t>MOTEUR PAR JOUR</t>
  </si>
  <si>
    <t>MOTEURS REJETÉS</t>
  </si>
  <si>
    <t>CFT</t>
  </si>
  <si>
    <t>CVT</t>
  </si>
  <si>
    <t>CR</t>
  </si>
  <si>
    <t>PV</t>
  </si>
  <si>
    <t>Cvunit=CVT/NV</t>
  </si>
  <si>
    <t>Ceci est encore erroné…</t>
  </si>
  <si>
    <t>Il vaut mieux partir du Nb/Hre et multiplier par le nb d'heures par jour</t>
  </si>
  <si>
    <t>Les jours payés incluent les fériés…</t>
  </si>
  <si>
    <t>Bon</t>
  </si>
  <si>
    <t>Presque tout bon…</t>
  </si>
  <si>
    <t>Si on a le choix, on met d'abord la pièce sur la machine .1</t>
  </si>
  <si>
    <t>Petite erreur qui se répercute ci-dessous.</t>
  </si>
  <si>
    <t>Lâchez pas!</t>
  </si>
  <si>
    <t>Fonction Excel pour calculer le capital et les intérêts absentes…</t>
  </si>
  <si>
    <t>Frais annuels + tenir compte de la revente</t>
  </si>
  <si>
    <t>Le coût de l'emprunt n'est pas le capital emprunté car celui-ci est remis.</t>
  </si>
  <si>
    <t>A/S = Avantages Sociaux</t>
  </si>
  <si>
    <t>Le tech d'entretien ne fait pas de valeur ajoutée. Il ne peut pas être dans les coûts variables directs.</t>
  </si>
  <si>
    <t>Les A/S ne sont pas répartis selon les coûts variables directs et indirects…</t>
  </si>
  <si>
    <t>Les cellules en bleu ont une bonne formule, mais pas la bonne réponse.</t>
  </si>
  <si>
    <t xml:space="preserve"> corrigé</t>
  </si>
  <si>
    <t>Ancienne valeur</t>
  </si>
  <si>
    <t>ALEX:       ici j'Ai calculé le nombre de moteur *le nbr de piece sauf pour B74à B76</t>
  </si>
  <si>
    <t xml:space="preserve"> puisqu'on en recupere avec les moteur qui ne passe pas on en a besoin de moins. </t>
  </si>
  <si>
    <t>Et pourtant c toujours pas la bonne reponse… si vous pouvez parler de ça avec une autre equipe car la session passé y avait pas ça</t>
  </si>
  <si>
    <t>fab moteurs reel</t>
  </si>
  <si>
    <t>assy motuer reel</t>
  </si>
  <si>
    <t xml:space="preserve"> deja corrigé à vérifier</t>
  </si>
  <si>
    <t>machinerie</t>
  </si>
  <si>
    <t>valeur de revente</t>
  </si>
  <si>
    <t>nbr année amort</t>
  </si>
  <si>
    <t>CORRIGÉE A VÉRIFER</t>
  </si>
  <si>
    <t>(emprunt tot/an amortiss.)</t>
  </si>
  <si>
    <t>COUT D'EMPRUNT=</t>
  </si>
  <si>
    <t>ts07 emprunt tot</t>
  </si>
  <si>
    <t>salaire</t>
  </si>
  <si>
    <t>A/S bureau=salaire+(salaire*av.sociaux)</t>
  </si>
  <si>
    <t>Salaire des ouvriers+A/S</t>
  </si>
  <si>
    <t>salaire des ouvrier sans entretient</t>
  </si>
  <si>
    <t>A/S</t>
  </si>
  <si>
    <t>matiere premiere</t>
  </si>
  <si>
    <t>deja corrigé à vérifier</t>
  </si>
  <si>
    <r>
      <rPr>
        <sz val="11"/>
        <rFont val="Calibri"/>
        <family val="2"/>
      </rPr>
      <t>→</t>
    </r>
    <r>
      <rPr>
        <sz val="11"/>
        <rFont val="Calibri"/>
        <family val="2"/>
        <scheme val="minor"/>
      </rPr>
      <t>CRunit= (CF+CVT) /Mot_an</t>
    </r>
  </si>
  <si>
    <t>PR/(1-MB)</t>
  </si>
  <si>
    <t>DEJA corrigé, vérifié par coequipiers</t>
  </si>
  <si>
    <t>CORRIGÉ À VÉRIFIER</t>
  </si>
  <si>
    <t>ANTHROPOMETRIC DATA</t>
  </si>
  <si>
    <t>DimAnthropo</t>
  </si>
  <si>
    <t>-</t>
  </si>
  <si>
    <t>24.88</t>
  </si>
  <si>
    <t>29.27</t>
  </si>
  <si>
    <t>27.28</t>
  </si>
  <si>
    <t>32.01</t>
  </si>
  <si>
    <t>11.82</t>
  </si>
  <si>
    <t>13.08</t>
  </si>
  <si>
    <t>14.11</t>
  </si>
  <si>
    <t>15.38</t>
  </si>
  <si>
    <t>13.83</t>
  </si>
  <si>
    <t>16.91</t>
  </si>
  <si>
    <t>15.53</t>
  </si>
  <si>
    <t>18.75</t>
  </si>
  <si>
    <t>17.32</t>
  </si>
  <si>
    <t>20.78</t>
  </si>
  <si>
    <t>18.04</t>
  </si>
  <si>
    <t>21.48</t>
  </si>
  <si>
    <t>26.95</t>
  </si>
  <si>
    <t>31.27</t>
  </si>
  <si>
    <t>28.94</t>
  </si>
  <si>
    <t>33.39</t>
  </si>
  <si>
    <t>18.66</t>
  </si>
  <si>
    <t>22.05</t>
  </si>
  <si>
    <t>23.85</t>
  </si>
  <si>
    <t>20.25</t>
  </si>
  <si>
    <t>12.12</t>
  </si>
  <si>
    <t>15.02</t>
  </si>
  <si>
    <t>12.19</t>
  </si>
  <si>
    <t>14.82</t>
  </si>
  <si>
    <t>18.4</t>
  </si>
  <si>
    <t>20.8</t>
  </si>
  <si>
    <t>15.2</t>
  </si>
  <si>
    <t>17.5</t>
  </si>
  <si>
    <t>6.92</t>
  </si>
  <si>
    <t>10.41</t>
  </si>
  <si>
    <t>7.25</t>
  </si>
  <si>
    <t>10.78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</si>
</sst>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8" formatCode="#,##0.00\ &quot;$&quot;_);[Red]\(#,##0.00\ &quot;$&quot;\)"/>
    <numFmt numFmtId="44" formatCode="_ * #,##0.00_)\ &quot;$&quot;_ ;_ * \(#,##0.00\)\ &quot;$&quot;_ ;_ * &quot;-&quot;??_)\ &quot;$&quot;_ ;_ @_ "/>
    <numFmt numFmtId="43" formatCode="_ * #,##0.00_)_ ;_ * \(#,##0.00\)_ ;_ * &quot;-&quot;??_)_ ;_ @_ "/>
    <numFmt numFmtId="164" formatCode="&quot;$&quot;#,##0.00_);[Red]\(&quot;$&quot;#,##0.00\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0.000000"/>
    <numFmt numFmtId="168" formatCode="0.000"/>
    <numFmt numFmtId="169" formatCode="0.0%"/>
    <numFmt numFmtId="170" formatCode="0.0"/>
    <numFmt numFmtId="171" formatCode="#,##0.00\ &quot;$&quot;"/>
    <numFmt numFmtId="172" formatCode="_ * #,##0_)\ &quot;$&quot;_ ;_ * \(#,##0\)\ &quot;$&quot;_ ;_ * &quot;-&quot;??_)\ &quot;$&quot;_ ;_ @_ "/>
    <numFmt numFmtId="173" formatCode="_-[$$-409]* #,##0.00_ ;_-[$$-409]* \-#,##0.00\ ;_-[$$-409]* &quot;-&quot;??_ ;_-@_ "/>
  </numFmts>
  <fonts count="6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u/>
      <sz val="10"/>
      <name val="Arial"/>
      <family val="2"/>
    </font>
    <font>
      <sz val="7"/>
      <name val="Arial"/>
      <family val="2"/>
    </font>
    <font>
      <sz val="10"/>
      <name val="Arial"/>
      <family val="2"/>
    </font>
    <font>
      <sz val="8"/>
      <name val="Arial"/>
      <family val="2"/>
    </font>
    <font>
      <sz val="9"/>
      <name val="Arial"/>
      <family val="2"/>
    </font>
    <font>
      <sz val="7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name val="Calibri"/>
      <family val="2"/>
      <scheme val="minor"/>
    </font>
    <font>
      <sz val="10"/>
      <name val="Arial"/>
      <family val="2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2"/>
      <color theme="1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FF0000"/>
      <name val="Arial"/>
      <family val="2"/>
    </font>
    <font>
      <b/>
      <i/>
      <sz val="12"/>
      <name val="Arial"/>
      <family val="2"/>
    </font>
    <font>
      <b/>
      <sz val="11"/>
      <name val="Calibri"/>
      <family val="2"/>
      <scheme val="minor"/>
    </font>
    <font>
      <b/>
      <sz val="14"/>
      <name val="Calibri"/>
      <family val="2"/>
      <scheme val="minor"/>
    </font>
    <font>
      <sz val="8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</font>
    <font>
      <sz val="8"/>
      <name val="Calibri"/>
      <family val="2"/>
      <scheme val="minor"/>
    </font>
    <font>
      <sz val="14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</fonts>
  <fills count="45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DB4E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E46D0A"/>
        <bgColor indexed="64"/>
      </patternFill>
    </fill>
    <fill>
      <patternFill patternType="solid">
        <fgColor rgb="FF9B4A07"/>
        <bgColor indexed="64"/>
      </patternFill>
    </fill>
    <fill>
      <patternFill patternType="solid">
        <fgColor rgb="FFB79C3B"/>
        <bgColor indexed="64"/>
      </patternFill>
    </fill>
    <fill>
      <patternFill patternType="solid">
        <fgColor rgb="FFF8AB6C"/>
        <bgColor indexed="64"/>
      </patternFill>
    </fill>
    <fill>
      <patternFill patternType="solid">
        <fgColor rgb="FF2B6D85"/>
        <bgColor indexed="64"/>
      </patternFill>
    </fill>
    <fill>
      <patternFill patternType="solid">
        <fgColor rgb="FF159B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4DDE26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4EDF8"/>
        <bgColor indexed="64"/>
      </patternFill>
    </fill>
    <fill>
      <patternFill patternType="solid">
        <fgColor theme="8" tint="0.39997558519241921"/>
        <bgColor indexed="64"/>
      </patternFill>
    </fill>
  </fills>
  <borders count="148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auto="1"/>
      </left>
      <right/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/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dotted">
        <color auto="1"/>
      </right>
      <top style="double">
        <color auto="1"/>
      </top>
      <bottom/>
      <diagonal/>
    </border>
    <border>
      <left style="dotted">
        <color auto="1"/>
      </left>
      <right/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 style="medium">
        <color auto="1"/>
      </left>
      <right style="dotted">
        <color auto="1"/>
      </right>
      <top/>
      <bottom style="medium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medium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medium">
        <color auto="1"/>
      </left>
      <right style="dashed">
        <color auto="1"/>
      </right>
      <top style="dashed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dotted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/>
      <right style="dashed">
        <color auto="1"/>
      </right>
      <top/>
      <bottom style="medium">
        <color auto="1"/>
      </bottom>
      <diagonal/>
    </border>
    <border>
      <left style="thin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medium">
        <color auto="1"/>
      </right>
      <top style="double">
        <color auto="1"/>
      </top>
      <bottom style="dotted">
        <color auto="1"/>
      </bottom>
      <diagonal/>
    </border>
    <border>
      <left style="dashed">
        <color auto="1"/>
      </left>
      <right style="medium">
        <color auto="1"/>
      </right>
      <top style="dashed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indexed="64"/>
      </left>
      <right style="thin">
        <color indexed="64"/>
      </right>
      <top style="dotted">
        <color indexed="64"/>
      </top>
      <bottom/>
      <diagonal/>
    </border>
    <border>
      <left style="dotted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tted">
        <color indexed="64"/>
      </right>
      <top style="thin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auto="1"/>
      </right>
      <top style="medium">
        <color indexed="64"/>
      </top>
      <bottom style="medium">
        <color indexed="64"/>
      </bottom>
      <diagonal/>
    </border>
    <border>
      <left style="dotted">
        <color auto="1"/>
      </left>
      <right style="dotted">
        <color auto="1"/>
      </right>
      <top style="medium">
        <color indexed="64"/>
      </top>
      <bottom style="medium">
        <color indexed="64"/>
      </bottom>
      <diagonal/>
    </border>
    <border>
      <left style="dotted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auto="1"/>
      </right>
      <top/>
      <bottom style="dotted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dotted">
        <color auto="1"/>
      </top>
      <bottom style="dotted">
        <color auto="1"/>
      </bottom>
      <diagonal/>
    </border>
    <border>
      <left/>
      <right/>
      <top style="thin">
        <color rgb="FFFF0000"/>
      </top>
      <bottom style="double">
        <color rgb="FFFF0000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dotted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dotted">
        <color indexed="64"/>
      </bottom>
      <diagonal/>
    </border>
    <border>
      <left style="medium">
        <color rgb="FFFF0000"/>
      </left>
      <right style="medium">
        <color rgb="FFFF0000"/>
      </right>
      <top style="dotted">
        <color indexed="64"/>
      </top>
      <bottom style="dotted">
        <color indexed="64"/>
      </bottom>
      <diagonal/>
    </border>
    <border>
      <left style="medium">
        <color rgb="FFFF0000"/>
      </left>
      <right style="medium">
        <color rgb="FFFF0000"/>
      </right>
      <top style="dotted">
        <color indexed="64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/>
      <diagonal/>
    </border>
  </borders>
  <cellStyleXfs count="176">
    <xf numFmtId="0" fontId="0" fillId="0" borderId="0"/>
    <xf numFmtId="0" fontId="28" fillId="0" borderId="0"/>
    <xf numFmtId="9" fontId="41" fillId="0" borderId="0" applyFont="0" applyFill="0" applyBorder="0" applyAlignment="0" applyProtection="0"/>
    <xf numFmtId="0" fontId="27" fillId="0" borderId="0"/>
    <xf numFmtId="9" fontId="27" fillId="0" borderId="0" applyFont="0" applyFill="0" applyBorder="0" applyAlignment="0" applyProtection="0"/>
    <xf numFmtId="165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44" fontId="45" fillId="0" borderId="0" applyFont="0" applyFill="0" applyBorder="0" applyAlignment="0" applyProtection="0"/>
    <xf numFmtId="0" fontId="24" fillId="0" borderId="0"/>
    <xf numFmtId="0" fontId="22" fillId="0" borderId="0"/>
    <xf numFmtId="44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32" fillId="0" borderId="0"/>
    <xf numFmtId="0" fontId="17" fillId="0" borderId="0"/>
    <xf numFmtId="9" fontId="32" fillId="0" borderId="0" applyFont="0" applyFill="0" applyBorder="0" applyAlignment="0" applyProtection="0"/>
    <xf numFmtId="0" fontId="17" fillId="0" borderId="0"/>
    <xf numFmtId="9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4" fontId="32" fillId="0" borderId="0" applyFont="0" applyFill="0" applyBorder="0" applyAlignment="0" applyProtection="0"/>
    <xf numFmtId="0" fontId="17" fillId="0" borderId="0"/>
    <xf numFmtId="0" fontId="17" fillId="0" borderId="0"/>
    <xf numFmtId="44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44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4" fontId="32" fillId="0" borderId="0" applyFont="0" applyFill="0" applyBorder="0" applyAlignment="0" applyProtection="0"/>
    <xf numFmtId="0" fontId="16" fillId="0" borderId="0"/>
    <xf numFmtId="0" fontId="16" fillId="0" borderId="0"/>
    <xf numFmtId="44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4" fontId="32" fillId="0" borderId="0" applyFont="0" applyFill="0" applyBorder="0" applyAlignment="0" applyProtection="0"/>
    <xf numFmtId="0" fontId="15" fillId="0" borderId="0"/>
    <xf numFmtId="0" fontId="15" fillId="0" borderId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9" fontId="32" fillId="0" borderId="0" applyFont="0" applyFill="0" applyBorder="0" applyAlignment="0" applyProtection="0"/>
    <xf numFmtId="0" fontId="15" fillId="0" borderId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43" fillId="0" borderId="0" applyNumberFormat="0" applyFill="0" applyBorder="0" applyAlignment="0" applyProtection="0">
      <alignment vertical="top"/>
      <protection locked="0"/>
    </xf>
    <xf numFmtId="44" fontId="32" fillId="0" borderId="0" applyFont="0" applyFill="0" applyBorder="0" applyAlignment="0" applyProtection="0"/>
    <xf numFmtId="0" fontId="15" fillId="0" borderId="0"/>
    <xf numFmtId="0" fontId="15" fillId="0" borderId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4" fontId="32" fillId="0" borderId="0" applyFont="0" applyFill="0" applyBorder="0" applyAlignment="0" applyProtection="0"/>
    <xf numFmtId="0" fontId="15" fillId="0" borderId="0"/>
    <xf numFmtId="0" fontId="15" fillId="0" borderId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4" fontId="32" fillId="0" borderId="0" applyFont="0" applyFill="0" applyBorder="0" applyAlignment="0" applyProtection="0"/>
    <xf numFmtId="0" fontId="15" fillId="0" borderId="0"/>
    <xf numFmtId="0" fontId="15" fillId="0" borderId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4" fontId="32" fillId="0" borderId="0" applyFont="0" applyFill="0" applyBorder="0" applyAlignment="0" applyProtection="0"/>
    <xf numFmtId="0" fontId="14" fillId="0" borderId="0"/>
    <xf numFmtId="0" fontId="14" fillId="0" borderId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4" fontId="32" fillId="0" borderId="0" applyFont="0" applyFill="0" applyBorder="0" applyAlignment="0" applyProtection="0"/>
    <xf numFmtId="0" fontId="14" fillId="0" borderId="0"/>
    <xf numFmtId="0" fontId="14" fillId="0" borderId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4" fontId="32" fillId="0" borderId="0" applyFont="0" applyFill="0" applyBorder="0" applyAlignment="0" applyProtection="0"/>
    <xf numFmtId="0" fontId="14" fillId="0" borderId="0"/>
    <xf numFmtId="0" fontId="14" fillId="0" borderId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4" fontId="32" fillId="0" borderId="0" applyFont="0" applyFill="0" applyBorder="0" applyAlignment="0" applyProtection="0"/>
    <xf numFmtId="0" fontId="14" fillId="0" borderId="0"/>
    <xf numFmtId="0" fontId="14" fillId="0" borderId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4" fontId="32" fillId="0" borderId="0" applyFont="0" applyFill="0" applyBorder="0" applyAlignment="0" applyProtection="0"/>
    <xf numFmtId="0" fontId="14" fillId="0" borderId="0"/>
    <xf numFmtId="0" fontId="14" fillId="0" borderId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4" fontId="32" fillId="0" borderId="0" applyFont="0" applyFill="0" applyBorder="0" applyAlignment="0" applyProtection="0"/>
    <xf numFmtId="0" fontId="14" fillId="0" borderId="0"/>
    <xf numFmtId="0" fontId="14" fillId="0" borderId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4" fontId="32" fillId="0" borderId="0" applyFont="0" applyFill="0" applyBorder="0" applyAlignment="0" applyProtection="0"/>
    <xf numFmtId="0" fontId="14" fillId="0" borderId="0"/>
    <xf numFmtId="0" fontId="14" fillId="0" borderId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4" fontId="32" fillId="0" borderId="0" applyFont="0" applyFill="0" applyBorder="0" applyAlignment="0" applyProtection="0"/>
    <xf numFmtId="0" fontId="14" fillId="0" borderId="0"/>
    <xf numFmtId="0" fontId="14" fillId="0" borderId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4" fontId="32" fillId="0" borderId="0" applyFont="0" applyFill="0" applyBorder="0" applyAlignment="0" applyProtection="0"/>
    <xf numFmtId="0" fontId="14" fillId="0" borderId="0"/>
    <xf numFmtId="0" fontId="14" fillId="0" borderId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4" fontId="14" fillId="0" borderId="0" applyFont="0" applyFill="0" applyBorder="0" applyAlignment="0" applyProtection="0"/>
  </cellStyleXfs>
  <cellXfs count="706">
    <xf numFmtId="0" fontId="0" fillId="0" borderId="0" xfId="0"/>
    <xf numFmtId="0" fontId="0" fillId="0" borderId="0" xfId="0" applyProtection="1">
      <protection locked="0"/>
    </xf>
    <xf numFmtId="44" fontId="40" fillId="0" borderId="0" xfId="7" applyFont="1" applyProtection="1"/>
    <xf numFmtId="44" fontId="26" fillId="0" borderId="0" xfId="7" applyFont="1" applyProtection="1"/>
    <xf numFmtId="0" fontId="42" fillId="0" borderId="0" xfId="9" applyFont="1"/>
    <xf numFmtId="0" fontId="22" fillId="0" borderId="0" xfId="9"/>
    <xf numFmtId="0" fontId="22" fillId="0" borderId="0" xfId="9" applyAlignment="1">
      <alignment horizontal="right"/>
    </xf>
    <xf numFmtId="44" fontId="22" fillId="0" borderId="0" xfId="9" applyNumberFormat="1"/>
    <xf numFmtId="0" fontId="38" fillId="0" borderId="0" xfId="9" applyFont="1" applyAlignment="1">
      <alignment horizontal="right"/>
    </xf>
    <xf numFmtId="0" fontId="42" fillId="0" borderId="0" xfId="3" applyFont="1"/>
    <xf numFmtId="0" fontId="38" fillId="0" borderId="0" xfId="3" applyFont="1" applyAlignment="1">
      <alignment horizontal="center"/>
    </xf>
    <xf numFmtId="0" fontId="27" fillId="0" borderId="0" xfId="3"/>
    <xf numFmtId="44" fontId="38" fillId="0" borderId="0" xfId="7" applyFont="1" applyAlignment="1" applyProtection="1">
      <alignment horizontal="center"/>
    </xf>
    <xf numFmtId="1" fontId="18" fillId="19" borderId="43" xfId="7" applyNumberFormat="1" applyFont="1" applyFill="1" applyBorder="1" applyAlignment="1" applyProtection="1">
      <alignment horizontal="center" vertical="center"/>
      <protection locked="0"/>
    </xf>
    <xf numFmtId="44" fontId="18" fillId="19" borderId="42" xfId="7" applyFont="1" applyFill="1" applyBorder="1" applyAlignment="1" applyProtection="1">
      <alignment horizontal="center" vertical="center"/>
      <protection locked="0"/>
    </xf>
    <xf numFmtId="44" fontId="18" fillId="19" borderId="43" xfId="7" applyFont="1" applyFill="1" applyBorder="1" applyAlignment="1" applyProtection="1">
      <alignment horizontal="center" vertical="center"/>
      <protection locked="0"/>
    </xf>
    <xf numFmtId="44" fontId="18" fillId="19" borderId="44" xfId="7" applyFont="1" applyFill="1" applyBorder="1" applyAlignment="1" applyProtection="1">
      <alignment horizontal="center" vertical="center"/>
      <protection locked="0"/>
    </xf>
    <xf numFmtId="9" fontId="18" fillId="19" borderId="9" xfId="2" applyFont="1" applyFill="1" applyBorder="1" applyAlignment="1" applyProtection="1">
      <alignment horizontal="center" vertical="center"/>
      <protection locked="0"/>
    </xf>
    <xf numFmtId="169" fontId="18" fillId="19" borderId="44" xfId="2" applyNumberFormat="1" applyFont="1" applyFill="1" applyBorder="1" applyAlignment="1" applyProtection="1">
      <alignment horizontal="center" vertical="center"/>
      <protection locked="0"/>
    </xf>
    <xf numFmtId="44" fontId="18" fillId="19" borderId="55" xfId="7" applyFont="1" applyFill="1" applyBorder="1" applyAlignment="1" applyProtection="1">
      <alignment horizontal="center" vertical="center"/>
      <protection locked="0"/>
    </xf>
    <xf numFmtId="44" fontId="18" fillId="19" borderId="57" xfId="7" applyFont="1" applyFill="1" applyBorder="1" applyAlignment="1" applyProtection="1">
      <alignment horizontal="center" vertical="center"/>
      <protection locked="0"/>
    </xf>
    <xf numFmtId="44" fontId="18" fillId="19" borderId="37" xfId="7" applyFont="1" applyFill="1" applyBorder="1" applyAlignment="1" applyProtection="1">
      <alignment horizontal="center" vertical="center"/>
      <protection locked="0"/>
    </xf>
    <xf numFmtId="44" fontId="18" fillId="19" borderId="58" xfId="7" applyFont="1" applyFill="1" applyBorder="1" applyAlignment="1" applyProtection="1">
      <alignment horizontal="center" vertical="center"/>
      <protection locked="0"/>
    </xf>
    <xf numFmtId="44" fontId="18" fillId="19" borderId="59" xfId="7" applyFont="1" applyFill="1" applyBorder="1" applyAlignment="1" applyProtection="1">
      <alignment horizontal="center" vertical="center"/>
      <protection locked="0"/>
    </xf>
    <xf numFmtId="44" fontId="18" fillId="19" borderId="61" xfId="7" applyFont="1" applyFill="1" applyBorder="1" applyAlignment="1" applyProtection="1">
      <alignment horizontal="center" vertical="center"/>
      <protection locked="0"/>
    </xf>
    <xf numFmtId="0" fontId="18" fillId="19" borderId="56" xfId="7" applyNumberFormat="1" applyFont="1" applyFill="1" applyBorder="1" applyAlignment="1" applyProtection="1">
      <alignment horizontal="center" vertical="center"/>
      <protection locked="0"/>
    </xf>
    <xf numFmtId="0" fontId="18" fillId="19" borderId="39" xfId="7" applyNumberFormat="1" applyFont="1" applyFill="1" applyBorder="1" applyAlignment="1" applyProtection="1">
      <alignment horizontal="center" vertical="center"/>
      <protection locked="0"/>
    </xf>
    <xf numFmtId="0" fontId="18" fillId="19" borderId="60" xfId="7" applyNumberFormat="1" applyFont="1" applyFill="1" applyBorder="1" applyAlignment="1" applyProtection="1">
      <alignment horizontal="center" vertical="center"/>
      <protection locked="0"/>
    </xf>
    <xf numFmtId="9" fontId="40" fillId="19" borderId="9" xfId="2" applyFont="1" applyFill="1" applyBorder="1" applyAlignment="1" applyProtection="1">
      <alignment horizontal="center" vertical="center"/>
      <protection locked="0"/>
    </xf>
    <xf numFmtId="9" fontId="18" fillId="19" borderId="55" xfId="2" applyFont="1" applyFill="1" applyBorder="1" applyAlignment="1" applyProtection="1">
      <alignment horizontal="center" vertical="center"/>
      <protection locked="0"/>
    </xf>
    <xf numFmtId="9" fontId="18" fillId="19" borderId="37" xfId="2" applyFont="1" applyFill="1" applyBorder="1" applyAlignment="1" applyProtection="1">
      <alignment horizontal="center" vertical="center"/>
      <protection locked="0"/>
    </xf>
    <xf numFmtId="44" fontId="18" fillId="19" borderId="65" xfId="7" applyFont="1" applyFill="1" applyBorder="1" applyAlignment="1" applyProtection="1">
      <alignment horizontal="center" vertical="center"/>
      <protection locked="0"/>
    </xf>
    <xf numFmtId="44" fontId="18" fillId="19" borderId="67" xfId="7" applyFont="1" applyFill="1" applyBorder="1" applyAlignment="1" applyProtection="1">
      <alignment horizontal="center" vertical="center"/>
      <protection locked="0"/>
    </xf>
    <xf numFmtId="44" fontId="18" fillId="19" borderId="35" xfId="7" applyFont="1" applyFill="1" applyBorder="1" applyAlignment="1" applyProtection="1">
      <alignment horizontal="center" vertical="center"/>
      <protection locked="0"/>
    </xf>
    <xf numFmtId="44" fontId="18" fillId="19" borderId="68" xfId="7" applyFont="1" applyFill="1" applyBorder="1" applyAlignment="1" applyProtection="1">
      <alignment horizontal="center" vertical="center"/>
      <protection locked="0"/>
    </xf>
    <xf numFmtId="171" fontId="18" fillId="19" borderId="42" xfId="7" applyNumberFormat="1" applyFont="1" applyFill="1" applyBorder="1" applyAlignment="1" applyProtection="1">
      <alignment horizontal="right" vertical="center"/>
      <protection locked="0"/>
    </xf>
    <xf numFmtId="171" fontId="18" fillId="19" borderId="43" xfId="7" applyNumberFormat="1" applyFont="1" applyFill="1" applyBorder="1" applyAlignment="1" applyProtection="1">
      <alignment horizontal="right" vertical="center"/>
      <protection locked="0"/>
    </xf>
    <xf numFmtId="0" fontId="13" fillId="0" borderId="0" xfId="9" applyFont="1" applyAlignment="1">
      <alignment horizontal="center"/>
    </xf>
    <xf numFmtId="44" fontId="22" fillId="0" borderId="0" xfId="9" applyNumberFormat="1" applyAlignment="1">
      <alignment horizontal="center" vertical="center"/>
    </xf>
    <xf numFmtId="0" fontId="22" fillId="0" borderId="47" xfId="3" applyFont="1" applyBorder="1"/>
    <xf numFmtId="0" fontId="26" fillId="0" borderId="49" xfId="3" applyFont="1" applyBorder="1"/>
    <xf numFmtId="0" fontId="13" fillId="0" borderId="0" xfId="3" applyFont="1" applyAlignment="1">
      <alignment horizontal="center"/>
    </xf>
    <xf numFmtId="0" fontId="18" fillId="19" borderId="42" xfId="7" applyNumberFormat="1" applyFont="1" applyFill="1" applyBorder="1" applyAlignment="1" applyProtection="1">
      <alignment horizontal="center" vertical="center"/>
      <protection locked="0"/>
    </xf>
    <xf numFmtId="44" fontId="18" fillId="19" borderId="76" xfId="7" applyFont="1" applyFill="1" applyBorder="1" applyAlignment="1" applyProtection="1">
      <alignment horizontal="right" vertical="center"/>
      <protection locked="0"/>
    </xf>
    <xf numFmtId="0" fontId="47" fillId="0" borderId="0" xfId="9" applyFont="1"/>
    <xf numFmtId="0" fontId="40" fillId="0" borderId="47" xfId="63" applyFont="1" applyBorder="1" applyProtection="1">
      <protection locked="0"/>
    </xf>
    <xf numFmtId="0" fontId="40" fillId="0" borderId="0" xfId="9" applyFont="1"/>
    <xf numFmtId="0" fontId="40" fillId="0" borderId="47" xfId="3" applyFont="1" applyBorder="1" applyProtection="1">
      <protection locked="0"/>
    </xf>
    <xf numFmtId="0" fontId="40" fillId="0" borderId="48" xfId="3" applyFont="1" applyBorder="1" applyProtection="1">
      <protection locked="0"/>
    </xf>
    <xf numFmtId="0" fontId="40" fillId="0" borderId="47" xfId="3" applyFont="1" applyBorder="1" applyAlignment="1" applyProtection="1">
      <alignment vertical="center"/>
      <protection locked="0"/>
    </xf>
    <xf numFmtId="0" fontId="40" fillId="0" borderId="48" xfId="3" applyFont="1" applyBorder="1" applyAlignment="1" applyProtection="1">
      <alignment vertical="center"/>
      <protection locked="0"/>
    </xf>
    <xf numFmtId="44" fontId="40" fillId="0" borderId="49" xfId="7" applyFont="1" applyBorder="1" applyProtection="1">
      <protection locked="0"/>
    </xf>
    <xf numFmtId="0" fontId="40" fillId="0" borderId="50" xfId="3" applyFont="1" applyBorder="1" applyProtection="1">
      <protection locked="0"/>
    </xf>
    <xf numFmtId="0" fontId="40" fillId="0" borderId="47" xfId="9" applyFont="1" applyBorder="1" applyProtection="1">
      <protection locked="0"/>
    </xf>
    <xf numFmtId="0" fontId="40" fillId="0" borderId="48" xfId="9" applyFont="1" applyBorder="1" applyProtection="1">
      <protection locked="0"/>
    </xf>
    <xf numFmtId="0" fontId="27" fillId="0" borderId="0" xfId="3" applyAlignment="1">
      <alignment horizontal="right"/>
    </xf>
    <xf numFmtId="0" fontId="13" fillId="0" borderId="0" xfId="3" applyFont="1"/>
    <xf numFmtId="2" fontId="18" fillId="0" borderId="12" xfId="7" applyNumberFormat="1" applyFont="1" applyFill="1" applyBorder="1" applyAlignment="1" applyProtection="1">
      <alignment horizontal="center" vertical="center"/>
    </xf>
    <xf numFmtId="0" fontId="13" fillId="0" borderId="48" xfId="3" applyFont="1" applyBorder="1" applyAlignment="1">
      <alignment horizontal="center"/>
    </xf>
    <xf numFmtId="0" fontId="27" fillId="0" borderId="48" xfId="3" applyBorder="1"/>
    <xf numFmtId="1" fontId="18" fillId="0" borderId="48" xfId="7" applyNumberFormat="1" applyFont="1" applyFill="1" applyBorder="1" applyAlignment="1" applyProtection="1">
      <alignment horizontal="center" vertical="center"/>
    </xf>
    <xf numFmtId="0" fontId="40" fillId="0" borderId="0" xfId="3" applyFont="1"/>
    <xf numFmtId="0" fontId="27" fillId="0" borderId="14" xfId="3" applyBorder="1"/>
    <xf numFmtId="9" fontId="47" fillId="0" borderId="0" xfId="9" applyNumberFormat="1" applyFont="1"/>
    <xf numFmtId="0" fontId="38" fillId="0" borderId="0" xfId="3" applyFont="1"/>
    <xf numFmtId="0" fontId="13" fillId="0" borderId="18" xfId="3" applyFont="1" applyBorder="1" applyAlignment="1">
      <alignment horizontal="center"/>
    </xf>
    <xf numFmtId="0" fontId="19" fillId="0" borderId="0" xfId="3" applyFont="1"/>
    <xf numFmtId="0" fontId="21" fillId="0" borderId="0" xfId="3" applyFont="1"/>
    <xf numFmtId="44" fontId="18" fillId="0" borderId="0" xfId="7" applyFont="1" applyFill="1" applyBorder="1" applyAlignment="1" applyProtection="1">
      <alignment horizontal="center" vertical="center"/>
    </xf>
    <xf numFmtId="0" fontId="18" fillId="0" borderId="0" xfId="7" applyNumberFormat="1" applyFont="1" applyFill="1" applyBorder="1" applyAlignment="1" applyProtection="1">
      <alignment horizontal="center" vertical="center"/>
    </xf>
    <xf numFmtId="44" fontId="18" fillId="0" borderId="0" xfId="7" applyFont="1" applyFill="1" applyBorder="1" applyAlignment="1" applyProtection="1">
      <alignment horizontal="right" vertical="center"/>
    </xf>
    <xf numFmtId="44" fontId="22" fillId="0" borderId="0" xfId="7" applyFont="1" applyAlignment="1" applyProtection="1">
      <alignment horizontal="left"/>
    </xf>
    <xf numFmtId="0" fontId="26" fillId="0" borderId="0" xfId="3" applyFont="1"/>
    <xf numFmtId="0" fontId="23" fillId="0" borderId="0" xfId="3" applyFont="1"/>
    <xf numFmtId="0" fontId="18" fillId="0" borderId="0" xfId="3" applyFont="1"/>
    <xf numFmtId="0" fontId="22" fillId="0" borderId="0" xfId="3" applyFont="1"/>
    <xf numFmtId="171" fontId="18" fillId="0" borderId="0" xfId="7" applyNumberFormat="1" applyFont="1" applyFill="1" applyBorder="1" applyAlignment="1" applyProtection="1">
      <alignment horizontal="right" vertical="center"/>
    </xf>
    <xf numFmtId="165" fontId="13" fillId="0" borderId="18" xfId="3" applyNumberFormat="1" applyFont="1" applyBorder="1" applyAlignment="1">
      <alignment horizontal="center"/>
    </xf>
    <xf numFmtId="165" fontId="13" fillId="0" borderId="0" xfId="3" applyNumberFormat="1" applyFont="1"/>
    <xf numFmtId="0" fontId="25" fillId="0" borderId="0" xfId="3" applyFont="1"/>
    <xf numFmtId="0" fontId="25" fillId="0" borderId="0" xfId="3" applyFont="1" applyAlignment="1">
      <alignment vertical="center" wrapText="1"/>
    </xf>
    <xf numFmtId="0" fontId="27" fillId="0" borderId="0" xfId="3" applyAlignment="1">
      <alignment vertical="center"/>
    </xf>
    <xf numFmtId="0" fontId="26" fillId="0" borderId="0" xfId="3" applyFont="1" applyAlignment="1">
      <alignment vertical="center"/>
    </xf>
    <xf numFmtId="0" fontId="25" fillId="0" borderId="18" xfId="3" applyFont="1" applyBorder="1" applyAlignment="1">
      <alignment vertical="center" wrapText="1"/>
    </xf>
    <xf numFmtId="0" fontId="26" fillId="0" borderId="18" xfId="3" applyFont="1" applyBorder="1" applyAlignment="1">
      <alignment vertical="center" wrapText="1"/>
    </xf>
    <xf numFmtId="165" fontId="26" fillId="0" borderId="0" xfId="3" applyNumberFormat="1" applyFont="1"/>
    <xf numFmtId="0" fontId="40" fillId="0" borderId="49" xfId="3" applyFont="1" applyBorder="1" applyProtection="1">
      <protection locked="0"/>
    </xf>
    <xf numFmtId="0" fontId="27" fillId="0" borderId="18" xfId="3" applyBorder="1" applyAlignment="1">
      <alignment horizontal="center"/>
    </xf>
    <xf numFmtId="0" fontId="13" fillId="0" borderId="0" xfId="3" applyFont="1" applyAlignment="1">
      <alignment horizontal="right"/>
    </xf>
    <xf numFmtId="0" fontId="20" fillId="0" borderId="0" xfId="3" applyFont="1"/>
    <xf numFmtId="0" fontId="24" fillId="0" borderId="0" xfId="3" applyFont="1" applyAlignment="1">
      <alignment horizontal="right"/>
    </xf>
    <xf numFmtId="0" fontId="12" fillId="0" borderId="0" xfId="3" applyFont="1" applyAlignment="1">
      <alignment horizontal="right"/>
    </xf>
    <xf numFmtId="2" fontId="24" fillId="0" borderId="13" xfId="3" applyNumberFormat="1" applyFont="1" applyBorder="1" applyAlignment="1">
      <alignment horizontal="center"/>
    </xf>
    <xf numFmtId="0" fontId="27" fillId="0" borderId="0" xfId="3" applyAlignment="1">
      <alignment horizontal="center"/>
    </xf>
    <xf numFmtId="2" fontId="27" fillId="0" borderId="0" xfId="3" applyNumberFormat="1"/>
    <xf numFmtId="0" fontId="25" fillId="0" borderId="0" xfId="3" applyFont="1" applyAlignment="1">
      <alignment horizontal="center"/>
    </xf>
    <xf numFmtId="167" fontId="27" fillId="0" borderId="0" xfId="3" applyNumberFormat="1"/>
    <xf numFmtId="0" fontId="40" fillId="19" borderId="35" xfId="0" applyFont="1" applyFill="1" applyBorder="1" applyAlignment="1" applyProtection="1">
      <alignment horizontal="center" vertical="center"/>
      <protection locked="0"/>
    </xf>
    <xf numFmtId="0" fontId="40" fillId="19" borderId="36" xfId="0" applyFont="1" applyFill="1" applyBorder="1" applyAlignment="1" applyProtection="1">
      <alignment horizontal="center" vertical="center"/>
      <protection locked="0"/>
    </xf>
    <xf numFmtId="0" fontId="40" fillId="19" borderId="68" xfId="0" applyFont="1" applyFill="1" applyBorder="1" applyAlignment="1" applyProtection="1">
      <alignment horizontal="center" vertical="center"/>
      <protection locked="0"/>
    </xf>
    <xf numFmtId="0" fontId="40" fillId="19" borderId="37" xfId="0" applyFont="1" applyFill="1" applyBorder="1" applyAlignment="1" applyProtection="1">
      <alignment horizontal="center" vertical="center"/>
      <protection locked="0"/>
    </xf>
    <xf numFmtId="0" fontId="40" fillId="19" borderId="39" xfId="0" applyFont="1" applyFill="1" applyBorder="1" applyAlignment="1" applyProtection="1">
      <alignment horizontal="center" vertical="center"/>
      <protection locked="0"/>
    </xf>
    <xf numFmtId="0" fontId="40" fillId="19" borderId="58" xfId="0" applyFont="1" applyFill="1" applyBorder="1" applyAlignment="1" applyProtection="1">
      <alignment horizontal="center" vertical="center"/>
      <protection locked="0"/>
    </xf>
    <xf numFmtId="0" fontId="40" fillId="19" borderId="65" xfId="0" applyFont="1" applyFill="1" applyBorder="1" applyAlignment="1" applyProtection="1">
      <alignment horizontal="center" vertical="center"/>
      <protection locked="0"/>
    </xf>
    <xf numFmtId="0" fontId="40" fillId="19" borderId="66" xfId="0" applyFont="1" applyFill="1" applyBorder="1" applyAlignment="1" applyProtection="1">
      <alignment horizontal="center" vertical="center"/>
      <protection locked="0"/>
    </xf>
    <xf numFmtId="0" fontId="40" fillId="19" borderId="67" xfId="0" applyFont="1" applyFill="1" applyBorder="1" applyAlignment="1" applyProtection="1">
      <alignment horizontal="center" vertical="center"/>
      <protection locked="0"/>
    </xf>
    <xf numFmtId="0" fontId="40" fillId="19" borderId="69" xfId="0" applyFont="1" applyFill="1" applyBorder="1" applyAlignment="1" applyProtection="1">
      <alignment horizontal="center" vertical="center"/>
      <protection locked="0"/>
    </xf>
    <xf numFmtId="0" fontId="50" fillId="19" borderId="69" xfId="0" applyFont="1" applyFill="1" applyBorder="1" applyAlignment="1" applyProtection="1">
      <alignment horizontal="center" vertical="center"/>
      <protection locked="0"/>
    </xf>
    <xf numFmtId="0" fontId="32" fillId="0" borderId="0" xfId="0" applyFont="1" applyProtection="1">
      <protection locked="0"/>
    </xf>
    <xf numFmtId="0" fontId="51" fillId="0" borderId="0" xfId="0" applyFont="1"/>
    <xf numFmtId="0" fontId="40" fillId="0" borderId="0" xfId="0" applyFont="1"/>
    <xf numFmtId="0" fontId="50" fillId="20" borderId="69" xfId="0" applyFont="1" applyFill="1" applyBorder="1" applyAlignment="1">
      <alignment horizontal="centerContinuous" vertical="center"/>
    </xf>
    <xf numFmtId="0" fontId="50" fillId="20" borderId="70" xfId="0" applyFont="1" applyFill="1" applyBorder="1" applyAlignment="1">
      <alignment horizontal="centerContinuous" vertical="center"/>
    </xf>
    <xf numFmtId="0" fontId="50" fillId="20" borderId="63" xfId="0" applyFont="1" applyFill="1" applyBorder="1" applyAlignment="1">
      <alignment horizontal="centerContinuous" vertical="center"/>
    </xf>
    <xf numFmtId="0" fontId="50" fillId="0" borderId="0" xfId="0" applyFont="1" applyAlignment="1">
      <alignment horizontal="right" vertical="center"/>
    </xf>
    <xf numFmtId="0" fontId="0" fillId="0" borderId="0" xfId="0" applyAlignment="1">
      <alignment horizontal="center"/>
    </xf>
    <xf numFmtId="0" fontId="37" fillId="0" borderId="0" xfId="0" applyFont="1"/>
    <xf numFmtId="0" fontId="32" fillId="0" borderId="0" xfId="0" applyFont="1" applyAlignment="1">
      <alignment horizontal="center"/>
    </xf>
    <xf numFmtId="0" fontId="32" fillId="0" borderId="0" xfId="0" applyFont="1"/>
    <xf numFmtId="0" fontId="34" fillId="0" borderId="14" xfId="0" applyFont="1" applyBorder="1" applyAlignment="1">
      <alignment horizontal="center"/>
    </xf>
    <xf numFmtId="0" fontId="32" fillId="0" borderId="0" xfId="0" applyFont="1" applyAlignment="1">
      <alignment vertical="top"/>
    </xf>
    <xf numFmtId="0" fontId="32" fillId="0" borderId="0" xfId="0" applyFont="1" applyAlignment="1">
      <alignment vertical="top" wrapText="1"/>
    </xf>
    <xf numFmtId="0" fontId="49" fillId="0" borderId="6" xfId="0" applyFont="1" applyBorder="1" applyProtection="1">
      <protection locked="0"/>
    </xf>
    <xf numFmtId="0" fontId="0" fillId="0" borderId="7" xfId="0" applyBorder="1" applyProtection="1">
      <protection locked="0"/>
    </xf>
    <xf numFmtId="0" fontId="48" fillId="0" borderId="7" xfId="0" applyFont="1" applyBorder="1" applyProtection="1">
      <protection locked="0"/>
    </xf>
    <xf numFmtId="0" fontId="0" fillId="0" borderId="8" xfId="0" applyBorder="1" applyProtection="1">
      <protection locked="0"/>
    </xf>
    <xf numFmtId="0" fontId="0" fillId="0" borderId="16" xfId="0" applyBorder="1" applyProtection="1">
      <protection locked="0"/>
    </xf>
    <xf numFmtId="0" fontId="35" fillId="0" borderId="12" xfId="0" applyFont="1" applyBorder="1" applyAlignment="1" applyProtection="1">
      <alignment horizontal="centerContinuous"/>
      <protection locked="0"/>
    </xf>
    <xf numFmtId="0" fontId="35" fillId="0" borderId="13" xfId="0" applyFont="1" applyBorder="1" applyAlignment="1" applyProtection="1">
      <alignment horizontal="centerContinuous"/>
      <protection locked="0"/>
    </xf>
    <xf numFmtId="0" fontId="35" fillId="0" borderId="11" xfId="0" applyFont="1" applyBorder="1" applyAlignment="1" applyProtection="1">
      <alignment horizontal="centerContinuous"/>
      <protection locked="0"/>
    </xf>
    <xf numFmtId="0" fontId="35" fillId="0" borderId="15" xfId="0" applyFont="1" applyBorder="1" applyAlignment="1" applyProtection="1">
      <alignment horizontal="centerContinuous"/>
      <protection locked="0"/>
    </xf>
    <xf numFmtId="0" fontId="0" fillId="0" borderId="0" xfId="0" applyAlignment="1" applyProtection="1">
      <alignment horizontal="centerContinuous" vertical="center"/>
      <protection locked="0"/>
    </xf>
    <xf numFmtId="0" fontId="0" fillId="0" borderId="14" xfId="0" applyBorder="1" applyProtection="1">
      <protection locked="0"/>
    </xf>
    <xf numFmtId="0" fontId="0" fillId="0" borderId="2" xfId="0" applyBorder="1" applyProtection="1">
      <protection locked="0"/>
    </xf>
    <xf numFmtId="0" fontId="33" fillId="6" borderId="1" xfId="0" applyFont="1" applyFill="1" applyBorder="1" applyAlignment="1" applyProtection="1">
      <alignment horizontal="center"/>
      <protection locked="0"/>
    </xf>
    <xf numFmtId="0" fontId="0" fillId="6" borderId="0" xfId="0" applyFill="1" applyProtection="1">
      <protection locked="0"/>
    </xf>
    <xf numFmtId="0" fontId="0" fillId="6" borderId="2" xfId="0" applyFill="1" applyBorder="1" applyProtection="1">
      <protection locked="0"/>
    </xf>
    <xf numFmtId="0" fontId="33" fillId="0" borderId="10" xfId="0" applyFont="1" applyBorder="1" applyAlignment="1" applyProtection="1">
      <alignment horizontal="center"/>
      <protection locked="0"/>
    </xf>
    <xf numFmtId="0" fontId="33" fillId="6" borderId="3" xfId="0" applyFont="1" applyFill="1" applyBorder="1" applyAlignment="1" applyProtection="1">
      <alignment horizontal="center"/>
      <protection locked="0"/>
    </xf>
    <xf numFmtId="0" fontId="0" fillId="6" borderId="4" xfId="0" applyFill="1" applyBorder="1" applyProtection="1">
      <protection locked="0"/>
    </xf>
    <xf numFmtId="0" fontId="0" fillId="6" borderId="5" xfId="0" applyFill="1" applyBorder="1" applyProtection="1"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51" xfId="0" applyBorder="1" applyProtection="1">
      <protection locked="0"/>
    </xf>
    <xf numFmtId="0" fontId="35" fillId="0" borderId="51" xfId="0" applyFont="1" applyBorder="1" applyAlignment="1" applyProtection="1">
      <alignment horizontal="centerContinuous"/>
      <protection locked="0"/>
    </xf>
    <xf numFmtId="0" fontId="29" fillId="0" borderId="10" xfId="0" applyFont="1" applyBorder="1" applyAlignment="1" applyProtection="1">
      <alignment horizontal="center"/>
      <protection locked="0"/>
    </xf>
    <xf numFmtId="0" fontId="30" fillId="0" borderId="0" xfId="0" applyFont="1"/>
    <xf numFmtId="0" fontId="0" fillId="2" borderId="0" xfId="0" applyFill="1" applyAlignment="1">
      <alignment horizontal="centerContinuous" vertical="center"/>
    </xf>
    <xf numFmtId="0" fontId="0" fillId="7" borderId="0" xfId="0" applyFill="1" applyAlignment="1">
      <alignment horizontal="centerContinuous" vertical="center"/>
    </xf>
    <xf numFmtId="0" fontId="0" fillId="13" borderId="0" xfId="0" applyFill="1" applyAlignment="1">
      <alignment horizontal="centerContinuous" vertical="center"/>
    </xf>
    <xf numFmtId="0" fontId="0" fillId="16" borderId="0" xfId="0" applyFill="1" applyAlignment="1">
      <alignment horizontal="centerContinuous" vertical="center"/>
    </xf>
    <xf numFmtId="0" fontId="0" fillId="12" borderId="0" xfId="0" applyFill="1" applyAlignment="1">
      <alignment horizontal="centerContinuous" vertical="center"/>
    </xf>
    <xf numFmtId="0" fontId="0" fillId="3" borderId="0" xfId="0" applyFill="1" applyAlignment="1">
      <alignment horizontal="centerContinuous" vertical="center"/>
    </xf>
    <xf numFmtId="0" fontId="0" fillId="4" borderId="0" xfId="0" applyFill="1" applyAlignment="1">
      <alignment horizontal="centerContinuous" vertical="center"/>
    </xf>
    <xf numFmtId="0" fontId="0" fillId="5" borderId="0" xfId="0" applyFill="1" applyAlignment="1">
      <alignment horizontal="centerContinuous" vertical="center"/>
    </xf>
    <xf numFmtId="0" fontId="0" fillId="9" borderId="0" xfId="0" applyFill="1" applyAlignment="1">
      <alignment horizontal="centerContinuous" vertical="center"/>
    </xf>
    <xf numFmtId="0" fontId="0" fillId="10" borderId="0" xfId="0" applyFill="1" applyAlignment="1">
      <alignment horizontal="centerContinuous" vertical="center"/>
    </xf>
    <xf numFmtId="0" fontId="0" fillId="11" borderId="0" xfId="0" applyFill="1" applyAlignment="1">
      <alignment horizontal="centerContinuous" vertical="center"/>
    </xf>
    <xf numFmtId="0" fontId="0" fillId="8" borderId="0" xfId="0" applyFill="1" applyAlignment="1">
      <alignment horizontal="centerContinuous" vertical="center"/>
    </xf>
    <xf numFmtId="0" fontId="0" fillId="14" borderId="0" xfId="0" applyFill="1" applyAlignment="1">
      <alignment horizontal="centerContinuous" vertical="center"/>
    </xf>
    <xf numFmtId="0" fontId="0" fillId="15" borderId="0" xfId="0" applyFill="1" applyAlignment="1">
      <alignment horizontal="centerContinuous" vertical="center"/>
    </xf>
    <xf numFmtId="0" fontId="31" fillId="0" borderId="11" xfId="0" applyFont="1" applyBorder="1" applyAlignment="1">
      <alignment horizontal="centerContinuous" vertical="center"/>
    </xf>
    <xf numFmtId="0" fontId="31" fillId="0" borderId="12" xfId="0" applyFont="1" applyBorder="1" applyAlignment="1">
      <alignment horizontal="centerContinuous" vertical="center"/>
    </xf>
    <xf numFmtId="0" fontId="31" fillId="0" borderId="13" xfId="0" applyFont="1" applyBorder="1" applyAlignment="1">
      <alignment horizontal="centerContinuous" vertical="center"/>
    </xf>
    <xf numFmtId="0" fontId="29" fillId="0" borderId="11" xfId="0" applyFont="1" applyBorder="1" applyAlignment="1">
      <alignment horizontal="centerContinuous" vertical="center"/>
    </xf>
    <xf numFmtId="0" fontId="29" fillId="0" borderId="12" xfId="0" applyFont="1" applyBorder="1" applyAlignment="1">
      <alignment horizontal="centerContinuous" vertical="center"/>
    </xf>
    <xf numFmtId="0" fontId="29" fillId="0" borderId="13" xfId="0" applyFont="1" applyBorder="1" applyAlignment="1">
      <alignment horizontal="centerContinuous" vertical="center"/>
    </xf>
    <xf numFmtId="171" fontId="40" fillId="19" borderId="42" xfId="5" applyNumberFormat="1" applyFont="1" applyFill="1" applyBorder="1" applyProtection="1">
      <protection locked="0"/>
    </xf>
    <xf numFmtId="171" fontId="40" fillId="19" borderId="43" xfId="5" applyNumberFormat="1" applyFont="1" applyFill="1" applyBorder="1" applyProtection="1">
      <protection locked="0"/>
    </xf>
    <xf numFmtId="10" fontId="40" fillId="19" borderId="43" xfId="2" applyNumberFormat="1" applyFont="1" applyFill="1" applyBorder="1" applyAlignment="1" applyProtection="1">
      <alignment horizontal="center" vertical="center"/>
      <protection locked="0"/>
    </xf>
    <xf numFmtId="0" fontId="40" fillId="19" borderId="43" xfId="5" applyNumberFormat="1" applyFont="1" applyFill="1" applyBorder="1" applyAlignment="1" applyProtection="1">
      <alignment horizontal="center"/>
      <protection locked="0"/>
    </xf>
    <xf numFmtId="0" fontId="22" fillId="19" borderId="44" xfId="3" applyFont="1" applyFill="1" applyBorder="1" applyAlignment="1" applyProtection="1">
      <alignment horizontal="center"/>
      <protection locked="0"/>
    </xf>
    <xf numFmtId="44" fontId="22" fillId="19" borderId="19" xfId="7" applyFont="1" applyFill="1" applyBorder="1" applyProtection="1">
      <protection locked="0"/>
    </xf>
    <xf numFmtId="8" fontId="22" fillId="19" borderId="0" xfId="7" applyNumberFormat="1" applyFont="1" applyFill="1" applyBorder="1" applyProtection="1">
      <protection locked="0"/>
    </xf>
    <xf numFmtId="0" fontId="42" fillId="0" borderId="0" xfId="3" applyFont="1" applyAlignment="1">
      <alignment vertical="center"/>
    </xf>
    <xf numFmtId="0" fontId="22" fillId="0" borderId="0" xfId="3" applyFont="1" applyAlignment="1">
      <alignment horizontal="right"/>
    </xf>
    <xf numFmtId="0" fontId="22" fillId="0" borderId="0" xfId="3" applyFont="1" applyAlignment="1">
      <alignment horizontal="center"/>
    </xf>
    <xf numFmtId="44" fontId="22" fillId="0" borderId="0" xfId="7" applyFont="1" applyProtection="1"/>
    <xf numFmtId="8" fontId="22" fillId="0" borderId="0" xfId="7" applyNumberFormat="1" applyFont="1" applyFill="1" applyProtection="1"/>
    <xf numFmtId="44" fontId="46" fillId="0" borderId="0" xfId="7" applyFont="1" applyProtection="1"/>
    <xf numFmtId="0" fontId="40" fillId="0" borderId="45" xfId="9" applyFont="1" applyBorder="1" applyProtection="1">
      <protection locked="0"/>
    </xf>
    <xf numFmtId="0" fontId="40" fillId="0" borderId="14" xfId="9" applyFont="1" applyBorder="1" applyProtection="1">
      <protection locked="0"/>
    </xf>
    <xf numFmtId="0" fontId="40" fillId="0" borderId="46" xfId="9" applyFont="1" applyBorder="1" applyProtection="1">
      <protection locked="0"/>
    </xf>
    <xf numFmtId="0" fontId="40" fillId="0" borderId="0" xfId="9" applyFont="1" applyProtection="1">
      <protection locked="0"/>
    </xf>
    <xf numFmtId="0" fontId="40" fillId="0" borderId="0" xfId="8" applyFont="1" applyProtection="1">
      <protection locked="0"/>
    </xf>
    <xf numFmtId="0" fontId="40" fillId="0" borderId="48" xfId="8" applyFont="1" applyBorder="1" applyProtection="1">
      <protection locked="0"/>
    </xf>
    <xf numFmtId="0" fontId="40" fillId="0" borderId="47" xfId="8" applyFont="1" applyBorder="1" applyProtection="1">
      <protection locked="0"/>
    </xf>
    <xf numFmtId="0" fontId="40" fillId="0" borderId="49" xfId="8" applyFont="1" applyBorder="1" applyProtection="1">
      <protection locked="0"/>
    </xf>
    <xf numFmtId="0" fontId="40" fillId="0" borderId="18" xfId="8" applyFont="1" applyBorder="1" applyProtection="1">
      <protection locked="0"/>
    </xf>
    <xf numFmtId="0" fontId="40" fillId="0" borderId="50" xfId="8" applyFont="1" applyBorder="1" applyProtection="1">
      <protection locked="0"/>
    </xf>
    <xf numFmtId="0" fontId="24" fillId="19" borderId="34" xfId="8" applyFill="1" applyBorder="1" applyAlignment="1" applyProtection="1">
      <alignment horizontal="center"/>
      <protection locked="0"/>
    </xf>
    <xf numFmtId="0" fontId="42" fillId="0" borderId="0" xfId="8" applyFont="1"/>
    <xf numFmtId="0" fontId="24" fillId="0" borderId="0" xfId="8"/>
    <xf numFmtId="0" fontId="44" fillId="0" borderId="20" xfId="8" applyFont="1" applyBorder="1" applyAlignment="1">
      <alignment horizontal="centerContinuous"/>
    </xf>
    <xf numFmtId="0" fontId="24" fillId="0" borderId="21" xfId="8" applyBorder="1" applyAlignment="1">
      <alignment horizontal="centerContinuous"/>
    </xf>
    <xf numFmtId="0" fontId="24" fillId="0" borderId="22" xfId="8" applyBorder="1" applyAlignment="1">
      <alignment horizontal="centerContinuous"/>
    </xf>
    <xf numFmtId="0" fontId="38" fillId="0" borderId="23" xfId="8" applyFont="1" applyBorder="1" applyAlignment="1">
      <alignment horizontal="center" vertical="center" wrapText="1"/>
    </xf>
    <xf numFmtId="0" fontId="38" fillId="0" borderId="24" xfId="8" applyFont="1" applyBorder="1" applyAlignment="1">
      <alignment horizontal="centerContinuous"/>
    </xf>
    <xf numFmtId="0" fontId="38" fillId="0" borderId="25" xfId="8" applyFont="1" applyBorder="1" applyAlignment="1">
      <alignment horizontal="centerContinuous"/>
    </xf>
    <xf numFmtId="0" fontId="38" fillId="0" borderId="40" xfId="8" applyFont="1" applyBorder="1" applyAlignment="1">
      <alignment horizontal="centerContinuous"/>
    </xf>
    <xf numFmtId="0" fontId="38" fillId="0" borderId="26" xfId="8" applyFont="1" applyBorder="1" applyAlignment="1">
      <alignment horizontal="center" vertical="center" wrapText="1"/>
    </xf>
    <xf numFmtId="0" fontId="38" fillId="0" borderId="27" xfId="8" applyFont="1" applyBorder="1" applyAlignment="1">
      <alignment horizontal="center"/>
    </xf>
    <xf numFmtId="0" fontId="38" fillId="0" borderId="32" xfId="8" applyFont="1" applyBorder="1" applyAlignment="1">
      <alignment horizontal="center"/>
    </xf>
    <xf numFmtId="0" fontId="38" fillId="0" borderId="74" xfId="8" applyFont="1" applyBorder="1" applyAlignment="1">
      <alignment horizontal="center"/>
    </xf>
    <xf numFmtId="0" fontId="38" fillId="0" borderId="28" xfId="8" applyFont="1" applyBorder="1" applyAlignment="1">
      <alignment horizontal="center"/>
    </xf>
    <xf numFmtId="0" fontId="38" fillId="0" borderId="29" xfId="8" applyFont="1" applyBorder="1" applyAlignment="1">
      <alignment horizontal="center"/>
    </xf>
    <xf numFmtId="0" fontId="38" fillId="0" borderId="0" xfId="8" applyFont="1" applyAlignment="1">
      <alignment horizontal="center"/>
    </xf>
    <xf numFmtId="0" fontId="40" fillId="0" borderId="0" xfId="8" applyFont="1" applyAlignment="1">
      <alignment horizontal="center"/>
    </xf>
    <xf numFmtId="0" fontId="38" fillId="0" borderId="3" xfId="8" applyFont="1" applyBorder="1" applyAlignment="1">
      <alignment horizontal="left"/>
    </xf>
    <xf numFmtId="0" fontId="38" fillId="0" borderId="31" xfId="8" applyFont="1" applyBorder="1" applyAlignment="1">
      <alignment horizontal="right"/>
    </xf>
    <xf numFmtId="0" fontId="24" fillId="0" borderId="0" xfId="8" applyAlignment="1">
      <alignment horizontal="center"/>
    </xf>
    <xf numFmtId="0" fontId="38" fillId="0" borderId="2" xfId="8" applyFont="1" applyBorder="1" applyAlignment="1">
      <alignment horizontal="center"/>
    </xf>
    <xf numFmtId="0" fontId="38" fillId="0" borderId="4" xfId="8" applyFont="1" applyBorder="1" applyAlignment="1">
      <alignment horizontal="center"/>
    </xf>
    <xf numFmtId="0" fontId="38" fillId="0" borderId="0" xfId="8" applyFont="1"/>
    <xf numFmtId="0" fontId="13" fillId="0" borderId="0" xfId="8" applyFont="1"/>
    <xf numFmtId="0" fontId="24" fillId="19" borderId="0" xfId="8" applyFill="1" applyProtection="1">
      <protection locked="0"/>
    </xf>
    <xf numFmtId="0" fontId="13" fillId="19" borderId="0" xfId="8" applyFont="1" applyFill="1" applyAlignment="1" applyProtection="1">
      <alignment horizontal="center"/>
      <protection locked="0"/>
    </xf>
    <xf numFmtId="0" fontId="24" fillId="19" borderId="0" xfId="8" applyFill="1" applyAlignment="1" applyProtection="1">
      <alignment horizontal="center"/>
      <protection locked="0"/>
    </xf>
    <xf numFmtId="0" fontId="13" fillId="19" borderId="0" xfId="8" applyFont="1" applyFill="1" applyProtection="1">
      <protection locked="0"/>
    </xf>
    <xf numFmtId="44" fontId="13" fillId="19" borderId="58" xfId="9" applyNumberFormat="1" applyFont="1" applyFill="1" applyBorder="1" applyProtection="1">
      <protection locked="0"/>
    </xf>
    <xf numFmtId="44" fontId="40" fillId="19" borderId="58" xfId="10" applyFont="1" applyFill="1" applyBorder="1" applyProtection="1">
      <protection locked="0"/>
    </xf>
    <xf numFmtId="44" fontId="40" fillId="0" borderId="48" xfId="9" applyNumberFormat="1" applyFont="1" applyBorder="1" applyProtection="1">
      <protection locked="0"/>
    </xf>
    <xf numFmtId="0" fontId="13" fillId="19" borderId="58" xfId="9" applyFont="1" applyFill="1" applyBorder="1" applyProtection="1">
      <protection locked="0"/>
    </xf>
    <xf numFmtId="0" fontId="40" fillId="0" borderId="49" xfId="9" applyFont="1" applyBorder="1" applyProtection="1">
      <protection locked="0"/>
    </xf>
    <xf numFmtId="0" fontId="40" fillId="0" borderId="50" xfId="9" applyFont="1" applyBorder="1" applyProtection="1">
      <protection locked="0"/>
    </xf>
    <xf numFmtId="44" fontId="26" fillId="19" borderId="77" xfId="7" applyFont="1" applyFill="1" applyBorder="1" applyProtection="1">
      <protection locked="0"/>
    </xf>
    <xf numFmtId="44" fontId="40" fillId="19" borderId="38" xfId="7" applyFont="1" applyFill="1" applyBorder="1" applyProtection="1">
      <protection locked="0"/>
    </xf>
    <xf numFmtId="44" fontId="40" fillId="0" borderId="47" xfId="7" applyFont="1" applyBorder="1" applyProtection="1">
      <protection locked="0"/>
    </xf>
    <xf numFmtId="44" fontId="26" fillId="19" borderId="38" xfId="7" applyFont="1" applyFill="1" applyBorder="1" applyProtection="1">
      <protection locked="0"/>
    </xf>
    <xf numFmtId="44" fontId="22" fillId="19" borderId="38" xfId="7" applyFont="1" applyFill="1" applyBorder="1" applyProtection="1">
      <protection locked="0"/>
    </xf>
    <xf numFmtId="44" fontId="22" fillId="19" borderId="78" xfId="7" applyFont="1" applyFill="1" applyBorder="1" applyProtection="1">
      <protection locked="0"/>
    </xf>
    <xf numFmtId="44" fontId="38" fillId="19" borderId="76" xfId="7" applyFont="1" applyFill="1" applyBorder="1" applyProtection="1">
      <protection locked="0"/>
    </xf>
    <xf numFmtId="0" fontId="22" fillId="19" borderId="9" xfId="9" applyFill="1" applyBorder="1" applyAlignment="1" applyProtection="1">
      <alignment horizontal="center"/>
      <protection locked="0"/>
    </xf>
    <xf numFmtId="9" fontId="22" fillId="19" borderId="9" xfId="2" applyFont="1" applyFill="1" applyBorder="1" applyAlignment="1" applyProtection="1">
      <alignment horizontal="center"/>
      <protection locked="0"/>
    </xf>
    <xf numFmtId="0" fontId="13" fillId="0" borderId="0" xfId="9" applyFont="1"/>
    <xf numFmtId="0" fontId="15" fillId="0" borderId="0" xfId="9" applyFont="1"/>
    <xf numFmtId="0" fontId="40" fillId="19" borderId="55" xfId="0" applyFont="1" applyFill="1" applyBorder="1" applyProtection="1">
      <protection locked="0"/>
    </xf>
    <xf numFmtId="0" fontId="40" fillId="19" borderId="57" xfId="0" applyFont="1" applyFill="1" applyBorder="1" applyAlignment="1" applyProtection="1">
      <alignment horizontal="center"/>
      <protection locked="0"/>
    </xf>
    <xf numFmtId="0" fontId="40" fillId="19" borderId="80" xfId="0" applyFont="1" applyFill="1" applyBorder="1" applyAlignment="1" applyProtection="1">
      <alignment horizontal="right"/>
      <protection locked="0"/>
    </xf>
    <xf numFmtId="0" fontId="40" fillId="19" borderId="81" xfId="0" applyFont="1" applyFill="1" applyBorder="1" applyAlignment="1" applyProtection="1">
      <alignment horizontal="right"/>
      <protection locked="0"/>
    </xf>
    <xf numFmtId="0" fontId="40" fillId="19" borderId="79" xfId="0" applyFont="1" applyFill="1" applyBorder="1" applyAlignment="1" applyProtection="1">
      <alignment horizontal="right"/>
      <protection locked="0"/>
    </xf>
    <xf numFmtId="0" fontId="40" fillId="19" borderId="58" xfId="0" applyFont="1" applyFill="1" applyBorder="1" applyAlignment="1" applyProtection="1">
      <alignment horizontal="center"/>
      <protection locked="0"/>
    </xf>
    <xf numFmtId="0" fontId="40" fillId="19" borderId="83" xfId="0" applyFont="1" applyFill="1" applyBorder="1" applyAlignment="1" applyProtection="1">
      <alignment horizontal="right"/>
      <protection locked="0"/>
    </xf>
    <xf numFmtId="0" fontId="40" fillId="19" borderId="84" xfId="0" applyFont="1" applyFill="1" applyBorder="1" applyAlignment="1" applyProtection="1">
      <alignment horizontal="right"/>
      <protection locked="0"/>
    </xf>
    <xf numFmtId="0" fontId="40" fillId="19" borderId="82" xfId="0" applyFont="1" applyFill="1" applyBorder="1" applyAlignment="1" applyProtection="1">
      <alignment horizontal="right"/>
      <protection locked="0"/>
    </xf>
    <xf numFmtId="0" fontId="40" fillId="19" borderId="61" xfId="0" applyFont="1" applyFill="1" applyBorder="1" applyAlignment="1" applyProtection="1">
      <alignment horizontal="center"/>
      <protection locked="0"/>
    </xf>
    <xf numFmtId="0" fontId="40" fillId="19" borderId="86" xfId="0" applyFont="1" applyFill="1" applyBorder="1" applyAlignment="1" applyProtection="1">
      <alignment horizontal="right"/>
      <protection locked="0"/>
    </xf>
    <xf numFmtId="0" fontId="40" fillId="19" borderId="87" xfId="0" applyFont="1" applyFill="1" applyBorder="1" applyAlignment="1" applyProtection="1">
      <alignment horizontal="right"/>
      <protection locked="0"/>
    </xf>
    <xf numFmtId="0" fontId="40" fillId="19" borderId="85" xfId="0" applyFont="1" applyFill="1" applyBorder="1" applyAlignment="1" applyProtection="1">
      <alignment horizontal="right"/>
      <protection locked="0"/>
    </xf>
    <xf numFmtId="0" fontId="40" fillId="20" borderId="45" xfId="0" applyFont="1" applyFill="1" applyBorder="1"/>
    <xf numFmtId="0" fontId="40" fillId="20" borderId="14" xfId="0" applyFont="1" applyFill="1" applyBorder="1"/>
    <xf numFmtId="0" fontId="40" fillId="20" borderId="52" xfId="0" applyFont="1" applyFill="1" applyBorder="1"/>
    <xf numFmtId="0" fontId="40" fillId="20" borderId="88" xfId="0" applyFont="1" applyFill="1" applyBorder="1" applyAlignment="1">
      <alignment horizontal="center"/>
    </xf>
    <xf numFmtId="0" fontId="40" fillId="20" borderId="49" xfId="0" applyFont="1" applyFill="1" applyBorder="1"/>
    <xf numFmtId="0" fontId="40" fillId="20" borderId="18" xfId="0" applyFont="1" applyFill="1" applyBorder="1"/>
    <xf numFmtId="0" fontId="40" fillId="20" borderId="53" xfId="0" applyFont="1" applyFill="1" applyBorder="1"/>
    <xf numFmtId="9" fontId="40" fillId="20" borderId="89" xfId="0" applyNumberFormat="1" applyFont="1" applyFill="1" applyBorder="1" applyAlignment="1">
      <alignment horizontal="center" wrapText="1"/>
    </xf>
    <xf numFmtId="9" fontId="40" fillId="20" borderId="18" xfId="0" applyNumberFormat="1" applyFont="1" applyFill="1" applyBorder="1" applyAlignment="1">
      <alignment horizontal="center"/>
    </xf>
    <xf numFmtId="9" fontId="40" fillId="20" borderId="50" xfId="0" applyNumberFormat="1" applyFont="1" applyFill="1" applyBorder="1" applyAlignment="1">
      <alignment horizontal="center"/>
    </xf>
    <xf numFmtId="9" fontId="40" fillId="20" borderId="49" xfId="0" applyNumberFormat="1" applyFont="1" applyFill="1" applyBorder="1" applyAlignment="1">
      <alignment horizontal="center"/>
    </xf>
    <xf numFmtId="0" fontId="40" fillId="0" borderId="47" xfId="0" applyFont="1" applyBorder="1"/>
    <xf numFmtId="0" fontId="40" fillId="0" borderId="49" xfId="0" applyFont="1" applyBorder="1"/>
    <xf numFmtId="0" fontId="40" fillId="0" borderId="18" xfId="0" applyFont="1" applyBorder="1"/>
    <xf numFmtId="0" fontId="11" fillId="0" borderId="0" xfId="9" applyFont="1"/>
    <xf numFmtId="1" fontId="10" fillId="19" borderId="42" xfId="7" applyNumberFormat="1" applyFont="1" applyFill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Continuous" vertical="center"/>
      <protection locked="0"/>
    </xf>
    <xf numFmtId="0" fontId="0" fillId="7" borderId="0" xfId="0" applyFill="1" applyAlignment="1" applyProtection="1">
      <alignment horizontal="centerContinuous" vertical="center"/>
      <protection locked="0"/>
    </xf>
    <xf numFmtId="0" fontId="0" fillId="13" borderId="0" xfId="0" applyFill="1" applyAlignment="1" applyProtection="1">
      <alignment horizontal="centerContinuous" vertical="center"/>
      <protection locked="0"/>
    </xf>
    <xf numFmtId="0" fontId="0" fillId="16" borderId="0" xfId="0" applyFill="1" applyAlignment="1" applyProtection="1">
      <alignment horizontal="centerContinuous" vertical="center"/>
      <protection locked="0"/>
    </xf>
    <xf numFmtId="0" fontId="0" fillId="12" borderId="0" xfId="0" applyFill="1" applyAlignment="1" applyProtection="1">
      <alignment horizontal="centerContinuous" vertical="center"/>
      <protection locked="0"/>
    </xf>
    <xf numFmtId="0" fontId="0" fillId="3" borderId="0" xfId="0" applyFill="1" applyAlignment="1" applyProtection="1">
      <alignment horizontal="centerContinuous" vertical="center"/>
      <protection locked="0"/>
    </xf>
    <xf numFmtId="0" fontId="0" fillId="4" borderId="0" xfId="0" applyFill="1" applyAlignment="1" applyProtection="1">
      <alignment horizontal="centerContinuous" vertical="center"/>
      <protection locked="0"/>
    </xf>
    <xf numFmtId="0" fontId="0" fillId="5" borderId="0" xfId="0" applyFill="1" applyAlignment="1" applyProtection="1">
      <alignment horizontal="centerContinuous" vertical="center"/>
      <protection locked="0"/>
    </xf>
    <xf numFmtId="0" fontId="0" fillId="9" borderId="0" xfId="0" applyFill="1" applyAlignment="1" applyProtection="1">
      <alignment horizontal="centerContinuous" vertical="center"/>
      <protection locked="0"/>
    </xf>
    <xf numFmtId="0" fontId="0" fillId="10" borderId="0" xfId="0" applyFill="1" applyAlignment="1" applyProtection="1">
      <alignment horizontal="centerContinuous" vertical="center"/>
      <protection locked="0"/>
    </xf>
    <xf numFmtId="0" fontId="0" fillId="11" borderId="0" xfId="0" applyFill="1" applyAlignment="1" applyProtection="1">
      <alignment horizontal="centerContinuous" vertical="center"/>
      <protection locked="0"/>
    </xf>
    <xf numFmtId="0" fontId="0" fillId="8" borderId="0" xfId="0" applyFill="1" applyAlignment="1" applyProtection="1">
      <alignment horizontal="centerContinuous" vertical="center"/>
      <protection locked="0"/>
    </xf>
    <xf numFmtId="0" fontId="0" fillId="14" borderId="0" xfId="0" applyFill="1" applyAlignment="1" applyProtection="1">
      <alignment horizontal="centerContinuous" vertical="center"/>
      <protection locked="0"/>
    </xf>
    <xf numFmtId="0" fontId="0" fillId="15" borderId="0" xfId="0" applyFill="1" applyAlignment="1" applyProtection="1">
      <alignment horizontal="centerContinuous" vertical="center"/>
      <protection locked="0"/>
    </xf>
    <xf numFmtId="169" fontId="18" fillId="19" borderId="43" xfId="2" applyNumberFormat="1" applyFont="1" applyFill="1" applyBorder="1" applyAlignment="1" applyProtection="1">
      <alignment horizontal="center" vertical="center"/>
      <protection locked="0"/>
    </xf>
    <xf numFmtId="0" fontId="29" fillId="6" borderId="1" xfId="0" applyFont="1" applyFill="1" applyBorder="1" applyAlignment="1" applyProtection="1">
      <alignment horizontal="center"/>
      <protection locked="0"/>
    </xf>
    <xf numFmtId="0" fontId="37" fillId="0" borderId="0" xfId="0" applyFont="1" applyProtection="1">
      <protection locked="0"/>
    </xf>
    <xf numFmtId="0" fontId="29" fillId="22" borderId="10" xfId="0" applyFont="1" applyFill="1" applyBorder="1" applyAlignment="1" applyProtection="1">
      <alignment horizontal="center"/>
      <protection locked="0"/>
    </xf>
    <xf numFmtId="0" fontId="29" fillId="23" borderId="10" xfId="0" applyFont="1" applyFill="1" applyBorder="1" applyAlignment="1" applyProtection="1">
      <alignment horizontal="center"/>
      <protection locked="0"/>
    </xf>
    <xf numFmtId="0" fontId="29" fillId="24" borderId="10" xfId="0" applyFont="1" applyFill="1" applyBorder="1" applyAlignment="1" applyProtection="1">
      <alignment horizontal="center"/>
      <protection locked="0"/>
    </xf>
    <xf numFmtId="0" fontId="29" fillId="17" borderId="10" xfId="0" applyFont="1" applyFill="1" applyBorder="1" applyAlignment="1" applyProtection="1">
      <alignment horizontal="center"/>
      <protection locked="0"/>
    </xf>
    <xf numFmtId="0" fontId="0" fillId="25" borderId="0" xfId="0" applyFill="1" applyProtection="1">
      <protection locked="0"/>
    </xf>
    <xf numFmtId="0" fontId="0" fillId="25" borderId="0" xfId="0" applyFill="1" applyAlignment="1" applyProtection="1">
      <alignment horizontal="centerContinuous" vertical="center"/>
      <protection locked="0"/>
    </xf>
    <xf numFmtId="0" fontId="0" fillId="25" borderId="2" xfId="0" applyFill="1" applyBorder="1" applyProtection="1">
      <protection locked="0"/>
    </xf>
    <xf numFmtId="0" fontId="33" fillId="25" borderId="10" xfId="0" applyFont="1" applyFill="1" applyBorder="1" applyAlignment="1" applyProtection="1">
      <alignment horizontal="center"/>
      <protection locked="0"/>
    </xf>
    <xf numFmtId="0" fontId="35" fillId="0" borderId="90" xfId="0" applyFont="1" applyBorder="1" applyAlignment="1" applyProtection="1">
      <alignment horizontal="centerContinuous"/>
      <protection locked="0"/>
    </xf>
    <xf numFmtId="0" fontId="29" fillId="25" borderId="10" xfId="0" applyFont="1" applyFill="1" applyBorder="1" applyAlignment="1" applyProtection="1">
      <alignment horizontal="center"/>
      <protection locked="0"/>
    </xf>
    <xf numFmtId="0" fontId="29" fillId="25" borderId="1" xfId="0" applyFont="1" applyFill="1" applyBorder="1" applyAlignment="1" applyProtection="1">
      <alignment horizontal="center"/>
      <protection locked="0"/>
    </xf>
    <xf numFmtId="0" fontId="0" fillId="0" borderId="46" xfId="0" applyBorder="1" applyProtection="1">
      <protection locked="0"/>
    </xf>
    <xf numFmtId="0" fontId="0" fillId="6" borderId="48" xfId="0" applyFill="1" applyBorder="1" applyProtection="1">
      <protection locked="0"/>
    </xf>
    <xf numFmtId="0" fontId="0" fillId="6" borderId="91" xfId="0" applyFill="1" applyBorder="1" applyProtection="1">
      <protection locked="0"/>
    </xf>
    <xf numFmtId="1" fontId="10" fillId="19" borderId="43" xfId="7" applyNumberFormat="1" applyFont="1" applyFill="1" applyBorder="1" applyAlignment="1" applyProtection="1">
      <alignment horizontal="center" vertical="center"/>
      <protection locked="0"/>
    </xf>
    <xf numFmtId="2" fontId="18" fillId="19" borderId="43" xfId="7" applyNumberFormat="1" applyFont="1" applyFill="1" applyBorder="1" applyAlignment="1" applyProtection="1">
      <alignment horizontal="center" vertical="center"/>
      <protection locked="0"/>
    </xf>
    <xf numFmtId="170" fontId="18" fillId="19" borderId="43" xfId="7" applyNumberFormat="1" applyFont="1" applyFill="1" applyBorder="1" applyAlignment="1" applyProtection="1">
      <alignment horizontal="center" vertical="center"/>
      <protection locked="0"/>
    </xf>
    <xf numFmtId="0" fontId="38" fillId="26" borderId="16" xfId="8" applyFont="1" applyFill="1" applyBorder="1" applyAlignment="1" applyProtection="1">
      <alignment horizontal="center" vertical="center"/>
      <protection locked="0"/>
    </xf>
    <xf numFmtId="0" fontId="24" fillId="30" borderId="101" xfId="8" applyFill="1" applyBorder="1"/>
    <xf numFmtId="0" fontId="24" fillId="30" borderId="102" xfId="8" applyFill="1" applyBorder="1"/>
    <xf numFmtId="0" fontId="24" fillId="19" borderId="93" xfId="8" applyFill="1" applyBorder="1" applyProtection="1">
      <protection locked="0"/>
    </xf>
    <xf numFmtId="0" fontId="24" fillId="0" borderId="94" xfId="8" applyBorder="1"/>
    <xf numFmtId="0" fontId="8" fillId="0" borderId="0" xfId="8" applyFont="1"/>
    <xf numFmtId="0" fontId="38" fillId="36" borderId="9" xfId="8" applyFont="1" applyFill="1" applyBorder="1" applyProtection="1">
      <protection locked="0"/>
    </xf>
    <xf numFmtId="0" fontId="38" fillId="29" borderId="9" xfId="8" applyFont="1" applyFill="1" applyBorder="1" applyProtection="1">
      <protection locked="0"/>
    </xf>
    <xf numFmtId="0" fontId="38" fillId="30" borderId="9" xfId="8" applyFont="1" applyFill="1" applyBorder="1" applyProtection="1">
      <protection locked="0"/>
    </xf>
    <xf numFmtId="0" fontId="38" fillId="33" borderId="9" xfId="8" applyFont="1" applyFill="1" applyBorder="1" applyProtection="1">
      <protection locked="0"/>
    </xf>
    <xf numFmtId="0" fontId="38" fillId="0" borderId="8" xfId="8" applyFont="1" applyBorder="1" applyAlignment="1">
      <alignment horizontal="center" vertical="center" wrapText="1"/>
    </xf>
    <xf numFmtId="0" fontId="38" fillId="0" borderId="2" xfId="8" applyFont="1" applyBorder="1" applyAlignment="1">
      <alignment horizontal="center" vertical="center" wrapText="1"/>
    </xf>
    <xf numFmtId="0" fontId="38" fillId="26" borderId="10" xfId="8" applyFont="1" applyFill="1" applyBorder="1" applyAlignment="1" applyProtection="1">
      <alignment horizontal="center" vertical="center"/>
      <protection locked="0"/>
    </xf>
    <xf numFmtId="0" fontId="38" fillId="35" borderId="10" xfId="8" applyFont="1" applyFill="1" applyBorder="1" applyProtection="1">
      <protection locked="0"/>
    </xf>
    <xf numFmtId="0" fontId="38" fillId="28" borderId="10" xfId="8" applyFont="1" applyFill="1" applyBorder="1" applyProtection="1">
      <protection locked="0"/>
    </xf>
    <xf numFmtId="0" fontId="38" fillId="36" borderId="10" xfId="8" applyFont="1" applyFill="1" applyBorder="1" applyProtection="1">
      <protection locked="0"/>
    </xf>
    <xf numFmtId="0" fontId="38" fillId="29" borderId="10" xfId="8" applyFont="1" applyFill="1" applyBorder="1" applyProtection="1">
      <protection locked="0"/>
    </xf>
    <xf numFmtId="0" fontId="38" fillId="29" borderId="105" xfId="8" applyFont="1" applyFill="1" applyBorder="1" applyProtection="1">
      <protection locked="0"/>
    </xf>
    <xf numFmtId="0" fontId="38" fillId="30" borderId="10" xfId="8" applyFont="1" applyFill="1" applyBorder="1" applyProtection="1">
      <protection locked="0"/>
    </xf>
    <xf numFmtId="0" fontId="38" fillId="33" borderId="10" xfId="8" applyFont="1" applyFill="1" applyBorder="1" applyProtection="1">
      <protection locked="0"/>
    </xf>
    <xf numFmtId="0" fontId="38" fillId="27" borderId="10" xfId="8" applyFont="1" applyFill="1" applyBorder="1" applyAlignment="1" applyProtection="1">
      <alignment horizontal="center" vertical="center"/>
      <protection locked="0"/>
    </xf>
    <xf numFmtId="0" fontId="38" fillId="19" borderId="106" xfId="8" applyFont="1" applyFill="1" applyBorder="1" applyProtection="1">
      <protection locked="0"/>
    </xf>
    <xf numFmtId="1" fontId="24" fillId="17" borderId="26" xfId="8" applyNumberFormat="1" applyFill="1" applyBorder="1" applyAlignment="1">
      <alignment horizontal="center"/>
    </xf>
    <xf numFmtId="1" fontId="24" fillId="17" borderId="16" xfId="8" applyNumberFormat="1" applyFill="1" applyBorder="1" applyAlignment="1">
      <alignment horizontal="center"/>
    </xf>
    <xf numFmtId="1" fontId="24" fillId="28" borderId="30" xfId="8" applyNumberFormat="1" applyFill="1" applyBorder="1" applyAlignment="1">
      <alignment horizontal="center"/>
    </xf>
    <xf numFmtId="1" fontId="24" fillId="28" borderId="16" xfId="8" applyNumberFormat="1" applyFill="1" applyBorder="1" applyAlignment="1">
      <alignment horizontal="center"/>
    </xf>
    <xf numFmtId="0" fontId="38" fillId="27" borderId="111" xfId="8" applyFont="1" applyFill="1" applyBorder="1" applyAlignment="1" applyProtection="1">
      <alignment horizontal="center" vertical="center"/>
      <protection locked="0"/>
    </xf>
    <xf numFmtId="0" fontId="24" fillId="37" borderId="96" xfId="8" applyFill="1" applyBorder="1"/>
    <xf numFmtId="0" fontId="24" fillId="37" borderId="97" xfId="8" applyFill="1" applyBorder="1"/>
    <xf numFmtId="0" fontId="24" fillId="37" borderId="98" xfId="8" applyFill="1" applyBorder="1"/>
    <xf numFmtId="0" fontId="8" fillId="38" borderId="108" xfId="8" applyFont="1" applyFill="1" applyBorder="1" applyAlignment="1">
      <alignment horizontal="center"/>
    </xf>
    <xf numFmtId="0" fontId="38" fillId="38" borderId="109" xfId="8" applyFont="1" applyFill="1" applyBorder="1" applyProtection="1">
      <protection locked="0"/>
    </xf>
    <xf numFmtId="0" fontId="38" fillId="39" borderId="10" xfId="8" applyFont="1" applyFill="1" applyBorder="1" applyProtection="1">
      <protection locked="0"/>
    </xf>
    <xf numFmtId="0" fontId="38" fillId="26" borderId="11" xfId="8" applyFont="1" applyFill="1" applyBorder="1" applyAlignment="1" applyProtection="1">
      <alignment horizontal="center" vertical="center"/>
      <protection locked="0"/>
    </xf>
    <xf numFmtId="0" fontId="38" fillId="35" borderId="11" xfId="8" applyFont="1" applyFill="1" applyBorder="1" applyProtection="1">
      <protection locked="0"/>
    </xf>
    <xf numFmtId="0" fontId="38" fillId="28" borderId="11" xfId="8" applyFont="1" applyFill="1" applyBorder="1" applyProtection="1">
      <protection locked="0"/>
    </xf>
    <xf numFmtId="0" fontId="38" fillId="39" borderId="11" xfId="8" applyFont="1" applyFill="1" applyBorder="1" applyProtection="1">
      <protection locked="0"/>
    </xf>
    <xf numFmtId="0" fontId="38" fillId="36" borderId="11" xfId="8" applyFont="1" applyFill="1" applyBorder="1" applyProtection="1">
      <protection locked="0"/>
    </xf>
    <xf numFmtId="0" fontId="38" fillId="29" borderId="11" xfId="8" applyFont="1" applyFill="1" applyBorder="1" applyProtection="1">
      <protection locked="0"/>
    </xf>
    <xf numFmtId="0" fontId="38" fillId="30" borderId="11" xfId="8" applyFont="1" applyFill="1" applyBorder="1" applyProtection="1">
      <protection locked="0"/>
    </xf>
    <xf numFmtId="0" fontId="38" fillId="33" borderId="11" xfId="8" applyFont="1" applyFill="1" applyBorder="1" applyProtection="1">
      <protection locked="0"/>
    </xf>
    <xf numFmtId="0" fontId="38" fillId="19" borderId="112" xfId="8" applyFont="1" applyFill="1" applyBorder="1" applyAlignment="1" applyProtection="1">
      <alignment horizontal="center"/>
      <protection locked="0"/>
    </xf>
    <xf numFmtId="0" fontId="38" fillId="39" borderId="9" xfId="8" applyFont="1" applyFill="1" applyBorder="1" applyProtection="1">
      <protection locked="0"/>
    </xf>
    <xf numFmtId="0" fontId="40" fillId="19" borderId="9" xfId="8" applyFont="1" applyFill="1" applyBorder="1" applyAlignment="1" applyProtection="1">
      <alignment horizontal="center"/>
      <protection locked="0"/>
    </xf>
    <xf numFmtId="0" fontId="38" fillId="29" borderId="17" xfId="8" applyFont="1" applyFill="1" applyBorder="1" applyProtection="1">
      <protection locked="0"/>
    </xf>
    <xf numFmtId="0" fontId="38" fillId="35" borderId="113" xfId="8" applyFont="1" applyFill="1" applyBorder="1" applyProtection="1">
      <protection locked="0"/>
    </xf>
    <xf numFmtId="0" fontId="38" fillId="28" borderId="113" xfId="8" applyFont="1" applyFill="1" applyBorder="1" applyProtection="1">
      <protection locked="0"/>
    </xf>
    <xf numFmtId="0" fontId="38" fillId="30" borderId="113" xfId="8" applyFont="1" applyFill="1" applyBorder="1" applyProtection="1">
      <protection locked="0"/>
    </xf>
    <xf numFmtId="0" fontId="38" fillId="36" borderId="113" xfId="8" applyFont="1" applyFill="1" applyBorder="1" applyProtection="1">
      <protection locked="0"/>
    </xf>
    <xf numFmtId="0" fontId="38" fillId="29" borderId="113" xfId="8" applyFont="1" applyFill="1" applyBorder="1" applyProtection="1">
      <protection locked="0"/>
    </xf>
    <xf numFmtId="0" fontId="38" fillId="39" borderId="113" xfId="8" applyFont="1" applyFill="1" applyBorder="1" applyProtection="1">
      <protection locked="0"/>
    </xf>
    <xf numFmtId="0" fontId="38" fillId="33" borderId="114" xfId="8" applyFont="1" applyFill="1" applyBorder="1" applyProtection="1">
      <protection locked="0"/>
    </xf>
    <xf numFmtId="0" fontId="24" fillId="19" borderId="10" xfId="8" applyFill="1" applyBorder="1" applyAlignment="1" applyProtection="1">
      <alignment horizontal="center"/>
      <protection locked="0"/>
    </xf>
    <xf numFmtId="0" fontId="40" fillId="19" borderId="105" xfId="8" applyFont="1" applyFill="1" applyBorder="1" applyAlignment="1" applyProtection="1">
      <alignment horizontal="center"/>
      <protection locked="0"/>
    </xf>
    <xf numFmtId="0" fontId="24" fillId="19" borderId="106" xfId="8" applyFill="1" applyBorder="1" applyAlignment="1" applyProtection="1">
      <alignment horizontal="center"/>
      <protection locked="0"/>
    </xf>
    <xf numFmtId="0" fontId="40" fillId="19" borderId="115" xfId="8" applyFont="1" applyFill="1" applyBorder="1" applyAlignment="1" applyProtection="1">
      <alignment horizontal="center"/>
      <protection locked="0"/>
    </xf>
    <xf numFmtId="0" fontId="40" fillId="19" borderId="107" xfId="8" applyFont="1" applyFill="1" applyBorder="1" applyAlignment="1" applyProtection="1">
      <alignment horizontal="center"/>
      <protection locked="0"/>
    </xf>
    <xf numFmtId="0" fontId="38" fillId="0" borderId="96" xfId="8" applyFont="1" applyBorder="1" applyAlignment="1">
      <alignment horizontal="center"/>
    </xf>
    <xf numFmtId="0" fontId="38" fillId="0" borderId="97" xfId="8" applyFont="1" applyBorder="1" applyAlignment="1">
      <alignment horizontal="center"/>
    </xf>
    <xf numFmtId="0" fontId="38" fillId="0" borderId="98" xfId="8" applyFont="1" applyBorder="1" applyAlignment="1">
      <alignment horizontal="center"/>
    </xf>
    <xf numFmtId="0" fontId="24" fillId="40" borderId="75" xfId="8" applyFill="1" applyBorder="1" applyAlignment="1" applyProtection="1">
      <alignment horizontal="center"/>
      <protection locked="0"/>
    </xf>
    <xf numFmtId="0" fontId="36" fillId="19" borderId="9" xfId="0" applyFont="1" applyFill="1" applyBorder="1" applyAlignment="1" applyProtection="1">
      <alignment horizontal="center" vertical="center"/>
      <protection locked="0"/>
    </xf>
    <xf numFmtId="44" fontId="7" fillId="19" borderId="55" xfId="7" applyFont="1" applyFill="1" applyBorder="1" applyAlignment="1" applyProtection="1">
      <alignment horizontal="center" vertical="center"/>
      <protection locked="0"/>
    </xf>
    <xf numFmtId="0" fontId="7" fillId="19" borderId="56" xfId="7" applyNumberFormat="1" applyFont="1" applyFill="1" applyBorder="1" applyAlignment="1" applyProtection="1">
      <alignment horizontal="center" vertical="center"/>
      <protection locked="0"/>
    </xf>
    <xf numFmtId="44" fontId="7" fillId="19" borderId="57" xfId="7" applyFont="1" applyFill="1" applyBorder="1" applyAlignment="1" applyProtection="1">
      <alignment horizontal="center" vertical="center"/>
      <protection locked="0"/>
    </xf>
    <xf numFmtId="44" fontId="7" fillId="19" borderId="37" xfId="7" applyFont="1" applyFill="1" applyBorder="1" applyAlignment="1" applyProtection="1">
      <alignment horizontal="center" vertical="center"/>
      <protection locked="0"/>
    </xf>
    <xf numFmtId="0" fontId="7" fillId="19" borderId="39" xfId="7" applyNumberFormat="1" applyFont="1" applyFill="1" applyBorder="1" applyAlignment="1" applyProtection="1">
      <alignment horizontal="center" vertical="center"/>
      <protection locked="0"/>
    </xf>
    <xf numFmtId="44" fontId="7" fillId="19" borderId="58" xfId="7" applyFont="1" applyFill="1" applyBorder="1" applyAlignment="1" applyProtection="1">
      <alignment horizontal="center" vertical="center"/>
      <protection locked="0"/>
    </xf>
    <xf numFmtId="44" fontId="7" fillId="19" borderId="59" xfId="7" applyFont="1" applyFill="1" applyBorder="1" applyAlignment="1" applyProtection="1">
      <alignment horizontal="center" vertical="center"/>
      <protection locked="0"/>
    </xf>
    <xf numFmtId="0" fontId="7" fillId="19" borderId="60" xfId="7" applyNumberFormat="1" applyFont="1" applyFill="1" applyBorder="1" applyAlignment="1" applyProtection="1">
      <alignment horizontal="center" vertical="center"/>
      <protection locked="0"/>
    </xf>
    <xf numFmtId="9" fontId="7" fillId="19" borderId="42" xfId="2" applyFont="1" applyFill="1" applyBorder="1" applyAlignment="1" applyProtection="1">
      <alignment horizontal="center" vertical="center"/>
      <protection locked="0"/>
    </xf>
    <xf numFmtId="1" fontId="7" fillId="19" borderId="43" xfId="19" applyNumberFormat="1" applyFont="1" applyFill="1" applyBorder="1" applyAlignment="1" applyProtection="1">
      <alignment horizontal="center" vertical="center"/>
      <protection locked="0"/>
    </xf>
    <xf numFmtId="169" fontId="7" fillId="19" borderId="43" xfId="2" applyNumberFormat="1" applyFont="1" applyFill="1" applyBorder="1" applyAlignment="1" applyProtection="1">
      <alignment horizontal="center" vertical="center"/>
      <protection locked="0"/>
    </xf>
    <xf numFmtId="2" fontId="7" fillId="19" borderId="43" xfId="19" applyNumberFormat="1" applyFont="1" applyFill="1" applyBorder="1" applyAlignment="1" applyProtection="1">
      <alignment horizontal="center" vertical="center"/>
      <protection locked="0"/>
    </xf>
    <xf numFmtId="168" fontId="7" fillId="19" borderId="44" xfId="19" applyNumberFormat="1" applyFont="1" applyFill="1" applyBorder="1" applyAlignment="1" applyProtection="1">
      <alignment horizontal="center" vertical="center"/>
      <protection locked="0"/>
    </xf>
    <xf numFmtId="44" fontId="7" fillId="19" borderId="67" xfId="7" applyFont="1" applyFill="1" applyBorder="1" applyAlignment="1" applyProtection="1">
      <alignment horizontal="center" vertical="center"/>
      <protection locked="0"/>
    </xf>
    <xf numFmtId="44" fontId="18" fillId="19" borderId="16" xfId="7" applyFont="1" applyFill="1" applyBorder="1" applyAlignment="1" applyProtection="1">
      <alignment horizontal="right" vertical="center"/>
      <protection locked="0"/>
    </xf>
    <xf numFmtId="171" fontId="18" fillId="19" borderId="54" xfId="7" applyNumberFormat="1" applyFont="1" applyFill="1" applyBorder="1" applyAlignment="1" applyProtection="1">
      <alignment horizontal="right" vertical="center"/>
      <protection locked="0"/>
    </xf>
    <xf numFmtId="0" fontId="29" fillId="0" borderId="17" xfId="0" applyFont="1" applyBorder="1" applyAlignment="1" applyProtection="1">
      <alignment horizontal="center"/>
      <protection locked="0"/>
    </xf>
    <xf numFmtId="0" fontId="0" fillId="6" borderId="16" xfId="0" applyFill="1" applyBorder="1" applyProtection="1">
      <protection locked="0"/>
    </xf>
    <xf numFmtId="0" fontId="31" fillId="0" borderId="12" xfId="0" applyFont="1" applyBorder="1" applyAlignment="1" applyProtection="1">
      <alignment horizontal="centerContinuous"/>
      <protection locked="0"/>
    </xf>
    <xf numFmtId="0" fontId="31" fillId="0" borderId="13" xfId="0" applyFont="1" applyBorder="1" applyAlignment="1" applyProtection="1">
      <alignment horizontal="centerContinuous"/>
      <protection locked="0"/>
    </xf>
    <xf numFmtId="0" fontId="31" fillId="0" borderId="11" xfId="0" applyFont="1" applyBorder="1" applyAlignment="1" applyProtection="1">
      <alignment horizontal="centerContinuous"/>
      <protection locked="0"/>
    </xf>
    <xf numFmtId="0" fontId="31" fillId="0" borderId="15" xfId="0" applyFont="1" applyBorder="1" applyAlignment="1" applyProtection="1">
      <alignment horizontal="centerContinuous"/>
      <protection locked="0"/>
    </xf>
    <xf numFmtId="0" fontId="29" fillId="0" borderId="71" xfId="0" applyFont="1" applyBorder="1" applyAlignment="1" applyProtection="1">
      <alignment horizontal="center"/>
      <protection locked="0"/>
    </xf>
    <xf numFmtId="0" fontId="29" fillId="6" borderId="3" xfId="0" applyFont="1" applyFill="1" applyBorder="1" applyAlignment="1" applyProtection="1">
      <alignment horizontal="center"/>
      <protection locked="0"/>
    </xf>
    <xf numFmtId="0" fontId="0" fillId="0" borderId="14" xfId="0" applyBorder="1" applyAlignment="1" applyProtection="1">
      <alignment horizontal="centerContinuous" vertical="center"/>
      <protection locked="0"/>
    </xf>
    <xf numFmtId="0" fontId="0" fillId="0" borderId="48" xfId="0" applyBorder="1" applyProtection="1">
      <protection locked="0"/>
    </xf>
    <xf numFmtId="0" fontId="0" fillId="41" borderId="0" xfId="0" applyFill="1" applyProtection="1">
      <protection locked="0"/>
    </xf>
    <xf numFmtId="0" fontId="0" fillId="41" borderId="0" xfId="0" applyFill="1" applyAlignment="1" applyProtection="1">
      <alignment horizontal="centerContinuous" vertical="center"/>
      <protection locked="0"/>
    </xf>
    <xf numFmtId="0" fontId="0" fillId="41" borderId="2" xfId="0" applyFill="1" applyBorder="1" applyProtection="1">
      <protection locked="0"/>
    </xf>
    <xf numFmtId="0" fontId="7" fillId="0" borderId="0" xfId="3" applyFont="1"/>
    <xf numFmtId="1" fontId="6" fillId="19" borderId="99" xfId="8" applyNumberFormat="1" applyFont="1" applyFill="1" applyBorder="1" applyAlignment="1" applyProtection="1">
      <alignment horizontal="center" vertical="center"/>
      <protection locked="0"/>
    </xf>
    <xf numFmtId="0" fontId="9" fillId="19" borderId="0" xfId="8" applyFont="1" applyFill="1" applyProtection="1">
      <protection locked="0"/>
    </xf>
    <xf numFmtId="0" fontId="6" fillId="19" borderId="93" xfId="8" applyFont="1" applyFill="1" applyBorder="1" applyProtection="1">
      <protection locked="0"/>
    </xf>
    <xf numFmtId="0" fontId="6" fillId="0" borderId="1" xfId="8" applyFont="1" applyBorder="1" applyAlignment="1">
      <alignment horizontal="left"/>
    </xf>
    <xf numFmtId="0" fontId="24" fillId="0" borderId="2" xfId="8" applyBorder="1" applyAlignment="1">
      <alignment horizontal="left"/>
    </xf>
    <xf numFmtId="0" fontId="24" fillId="0" borderId="1" xfId="8" applyBorder="1"/>
    <xf numFmtId="0" fontId="24" fillId="0" borderId="2" xfId="8" applyBorder="1"/>
    <xf numFmtId="0" fontId="24" fillId="0" borderId="3" xfId="8" applyBorder="1"/>
    <xf numFmtId="0" fontId="24" fillId="0" borderId="5" xfId="8" applyBorder="1"/>
    <xf numFmtId="0" fontId="24" fillId="31" borderId="100" xfId="8" applyFill="1" applyBorder="1" applyAlignment="1">
      <alignment horizontal="center"/>
    </xf>
    <xf numFmtId="0" fontId="24" fillId="19" borderId="116" xfId="8" applyFill="1" applyBorder="1" applyProtection="1">
      <protection locked="0"/>
    </xf>
    <xf numFmtId="0" fontId="6" fillId="19" borderId="92" xfId="8" applyFont="1" applyFill="1" applyBorder="1" applyProtection="1">
      <protection locked="0"/>
    </xf>
    <xf numFmtId="0" fontId="6" fillId="0" borderId="6" xfId="8" applyFont="1" applyBorder="1" applyAlignment="1">
      <alignment horizontal="left"/>
    </xf>
    <xf numFmtId="0" fontId="24" fillId="0" borderId="8" xfId="8" applyBorder="1" applyAlignment="1">
      <alignment horizontal="left"/>
    </xf>
    <xf numFmtId="0" fontId="24" fillId="0" borderId="8" xfId="8" applyBorder="1"/>
    <xf numFmtId="0" fontId="6" fillId="32" borderId="16" xfId="8" applyFont="1" applyFill="1" applyBorder="1" applyProtection="1">
      <protection locked="0"/>
    </xf>
    <xf numFmtId="0" fontId="6" fillId="34" borderId="100" xfId="8" applyFont="1" applyFill="1" applyBorder="1" applyProtection="1">
      <protection locked="0"/>
    </xf>
    <xf numFmtId="0" fontId="24" fillId="34" borderId="102" xfId="8" applyFill="1" applyBorder="1"/>
    <xf numFmtId="0" fontId="6" fillId="0" borderId="100" xfId="8" applyFont="1" applyBorder="1"/>
    <xf numFmtId="0" fontId="6" fillId="0" borderId="16" xfId="8" applyFont="1" applyBorder="1"/>
    <xf numFmtId="0" fontId="24" fillId="0" borderId="102" xfId="8" applyBorder="1"/>
    <xf numFmtId="0" fontId="47" fillId="0" borderId="47" xfId="9" applyFont="1" applyBorder="1" applyProtection="1">
      <protection locked="0"/>
    </xf>
    <xf numFmtId="0" fontId="47" fillId="0" borderId="47" xfId="3" applyFont="1" applyBorder="1" applyProtection="1">
      <protection locked="0"/>
    </xf>
    <xf numFmtId="0" fontId="48" fillId="0" borderId="0" xfId="0" applyFont="1" applyProtection="1">
      <protection locked="0"/>
    </xf>
    <xf numFmtId="0" fontId="47" fillId="0" borderId="47" xfId="3" applyFont="1" applyBorder="1" applyAlignment="1" applyProtection="1">
      <alignment vertical="center"/>
      <protection locked="0"/>
    </xf>
    <xf numFmtId="0" fontId="47" fillId="19" borderId="56" xfId="7" applyNumberFormat="1" applyFont="1" applyFill="1" applyBorder="1" applyAlignment="1" applyProtection="1">
      <alignment horizontal="center" vertical="center"/>
      <protection locked="0"/>
    </xf>
    <xf numFmtId="0" fontId="35" fillId="0" borderId="45" xfId="0" applyFont="1" applyBorder="1" applyAlignment="1" applyProtection="1">
      <alignment horizontal="centerContinuous"/>
      <protection locked="0"/>
    </xf>
    <xf numFmtId="0" fontId="35" fillId="0" borderId="46" xfId="0" applyFont="1" applyBorder="1" applyAlignment="1" applyProtection="1">
      <alignment horizontal="centerContinuous"/>
      <protection locked="0"/>
    </xf>
    <xf numFmtId="0" fontId="31" fillId="0" borderId="46" xfId="0" applyFont="1" applyBorder="1" applyAlignment="1" applyProtection="1">
      <alignment horizontal="centerContinuous"/>
      <protection locked="0"/>
    </xf>
    <xf numFmtId="0" fontId="32" fillId="6" borderId="0" xfId="0" applyFont="1" applyFill="1" applyProtection="1">
      <protection locked="0"/>
    </xf>
    <xf numFmtId="0" fontId="47" fillId="0" borderId="0" xfId="8" applyFont="1"/>
    <xf numFmtId="2" fontId="53" fillId="19" borderId="0" xfId="8" applyNumberFormat="1" applyFont="1" applyFill="1" applyAlignment="1">
      <alignment horizontal="center"/>
    </xf>
    <xf numFmtId="0" fontId="47" fillId="0" borderId="4" xfId="8" applyFont="1" applyBorder="1" applyAlignment="1">
      <alignment horizontal="center" wrapText="1"/>
    </xf>
    <xf numFmtId="0" fontId="27" fillId="0" borderId="117" xfId="3" applyBorder="1"/>
    <xf numFmtId="2" fontId="18" fillId="19" borderId="42" xfId="7" applyNumberFormat="1" applyFont="1" applyFill="1" applyBorder="1" applyAlignment="1" applyProtection="1">
      <alignment horizontal="center" vertical="center"/>
      <protection locked="0"/>
    </xf>
    <xf numFmtId="1" fontId="40" fillId="19" borderId="54" xfId="7" applyNumberFormat="1" applyFont="1" applyFill="1" applyBorder="1" applyAlignment="1" applyProtection="1">
      <alignment horizontal="center" vertical="center"/>
      <protection locked="0"/>
    </xf>
    <xf numFmtId="0" fontId="5" fillId="0" borderId="0" xfId="3" applyFont="1"/>
    <xf numFmtId="0" fontId="29" fillId="22" borderId="118" xfId="0" applyFont="1" applyFill="1" applyBorder="1" applyAlignment="1" applyProtection="1">
      <alignment horizontal="center"/>
      <protection locked="0"/>
    </xf>
    <xf numFmtId="0" fontId="0" fillId="13" borderId="14" xfId="0" applyFill="1" applyBorder="1" applyAlignment="1" applyProtection="1">
      <alignment horizontal="centerContinuous" vertical="center"/>
      <protection locked="0"/>
    </xf>
    <xf numFmtId="0" fontId="0" fillId="9" borderId="14" xfId="0" applyFill="1" applyBorder="1" applyAlignment="1" applyProtection="1">
      <alignment horizontal="centerContinuous" vertical="center"/>
      <protection locked="0"/>
    </xf>
    <xf numFmtId="0" fontId="0" fillId="7" borderId="14" xfId="0" applyFill="1" applyBorder="1" applyAlignment="1" applyProtection="1">
      <alignment horizontal="centerContinuous" vertical="center"/>
      <protection locked="0"/>
    </xf>
    <xf numFmtId="0" fontId="0" fillId="42" borderId="14" xfId="0" applyFill="1" applyBorder="1" applyAlignment="1" applyProtection="1">
      <alignment horizontal="centerContinuous" vertical="center"/>
      <protection locked="0"/>
    </xf>
    <xf numFmtId="0" fontId="0" fillId="0" borderId="47" xfId="0" applyBorder="1" applyAlignment="1" applyProtection="1">
      <alignment horizontal="centerContinuous" vertical="center"/>
      <protection locked="0"/>
    </xf>
    <xf numFmtId="0" fontId="0" fillId="6" borderId="47" xfId="0" applyFill="1" applyBorder="1" applyProtection="1">
      <protection locked="0"/>
    </xf>
    <xf numFmtId="0" fontId="0" fillId="0" borderId="47" xfId="0" applyBorder="1" applyProtection="1">
      <protection locked="0"/>
    </xf>
    <xf numFmtId="0" fontId="0" fillId="25" borderId="47" xfId="0" applyFill="1" applyBorder="1" applyAlignment="1" applyProtection="1">
      <alignment horizontal="centerContinuous" vertical="center"/>
      <protection locked="0"/>
    </xf>
    <xf numFmtId="0" fontId="0" fillId="25" borderId="19" xfId="0" applyFill="1" applyBorder="1" applyAlignment="1" applyProtection="1">
      <alignment horizontal="centerContinuous" vertical="center"/>
      <protection locked="0"/>
    </xf>
    <xf numFmtId="0" fontId="0" fillId="6" borderId="120" xfId="0" applyFill="1" applyBorder="1" applyProtection="1">
      <protection locked="0"/>
    </xf>
    <xf numFmtId="0" fontId="0" fillId="0" borderId="45" xfId="0" applyBorder="1" applyAlignment="1" applyProtection="1">
      <alignment horizontal="centerContinuous" vertical="center"/>
      <protection locked="0"/>
    </xf>
    <xf numFmtId="0" fontId="0" fillId="0" borderId="14" xfId="0" applyBorder="1" applyAlignment="1" applyProtection="1">
      <alignment horizontal="center"/>
      <protection locked="0"/>
    </xf>
    <xf numFmtId="0" fontId="0" fillId="6" borderId="0" xfId="0" applyFill="1" applyAlignment="1" applyProtection="1">
      <alignment horizontal="centerContinuous" vertical="center"/>
      <protection locked="0"/>
    </xf>
    <xf numFmtId="0" fontId="29" fillId="6" borderId="10" xfId="0" applyFont="1" applyFill="1" applyBorder="1" applyAlignment="1" applyProtection="1">
      <alignment horizontal="center"/>
      <protection locked="0"/>
    </xf>
    <xf numFmtId="0" fontId="0" fillId="6" borderId="47" xfId="0" applyFill="1" applyBorder="1" applyAlignment="1" applyProtection="1">
      <alignment horizontal="centerContinuous" vertical="center"/>
      <protection locked="0"/>
    </xf>
    <xf numFmtId="0" fontId="0" fillId="0" borderId="45" xfId="0" applyBorder="1" applyProtection="1">
      <protection locked="0"/>
    </xf>
    <xf numFmtId="0" fontId="0" fillId="6" borderId="119" xfId="0" applyFill="1" applyBorder="1" applyProtection="1">
      <protection locked="0"/>
    </xf>
    <xf numFmtId="0" fontId="49" fillId="0" borderId="0" xfId="0" applyFont="1" applyProtection="1">
      <protection locked="0"/>
    </xf>
    <xf numFmtId="0" fontId="35" fillId="0" borderId="0" xfId="0" applyFont="1" applyAlignment="1" applyProtection="1">
      <alignment horizontal="centerContinuous"/>
      <protection locked="0"/>
    </xf>
    <xf numFmtId="0" fontId="29" fillId="0" borderId="0" xfId="0" applyFont="1" applyAlignment="1" applyProtection="1">
      <alignment horizont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48" fillId="0" borderId="0" xfId="0" applyFont="1" applyAlignment="1" applyProtection="1">
      <alignment horizontal="centerContinuous" vertical="center"/>
      <protection locked="0"/>
    </xf>
    <xf numFmtId="0" fontId="0" fillId="25" borderId="47" xfId="0" applyFill="1" applyBorder="1" applyProtection="1">
      <protection locked="0"/>
    </xf>
    <xf numFmtId="0" fontId="31" fillId="0" borderId="45" xfId="0" applyFont="1" applyBorder="1" applyAlignment="1" applyProtection="1">
      <alignment horizontal="centerContinuous"/>
      <protection locked="0"/>
    </xf>
    <xf numFmtId="0" fontId="31" fillId="0" borderId="51" xfId="0" applyFont="1" applyBorder="1" applyAlignment="1" applyProtection="1">
      <alignment horizontal="centerContinuous"/>
      <protection locked="0"/>
    </xf>
    <xf numFmtId="0" fontId="0" fillId="12" borderId="14" xfId="0" applyFill="1" applyBorder="1" applyAlignment="1" applyProtection="1">
      <alignment horizontal="centerContinuous" vertical="center"/>
      <protection locked="0"/>
    </xf>
    <xf numFmtId="0" fontId="0" fillId="16" borderId="14" xfId="0" applyFill="1" applyBorder="1" applyAlignment="1" applyProtection="1">
      <alignment horizontal="centerContinuous" vertical="center"/>
      <protection locked="0"/>
    </xf>
    <xf numFmtId="0" fontId="0" fillId="3" borderId="14" xfId="0" applyFill="1" applyBorder="1" applyAlignment="1" applyProtection="1">
      <alignment horizontal="centerContinuous" vertical="center"/>
      <protection locked="0"/>
    </xf>
    <xf numFmtId="0" fontId="0" fillId="2" borderId="48" xfId="0" applyFill="1" applyBorder="1" applyAlignment="1" applyProtection="1">
      <alignment horizontal="centerContinuous" vertical="center"/>
      <protection locked="0"/>
    </xf>
    <xf numFmtId="0" fontId="0" fillId="5" borderId="47" xfId="0" applyFill="1" applyBorder="1" applyAlignment="1" applyProtection="1">
      <alignment horizontal="centerContinuous" vertical="center"/>
      <protection locked="0"/>
    </xf>
    <xf numFmtId="0" fontId="0" fillId="12" borderId="48" xfId="0" applyFill="1" applyBorder="1" applyAlignment="1" applyProtection="1">
      <alignment horizontal="centerContinuous" vertical="center"/>
      <protection locked="0"/>
    </xf>
    <xf numFmtId="0" fontId="0" fillId="14" borderId="48" xfId="0" applyFill="1" applyBorder="1" applyAlignment="1" applyProtection="1">
      <alignment horizontal="centerContinuous" vertical="center"/>
      <protection locked="0"/>
    </xf>
    <xf numFmtId="0" fontId="32" fillId="19" borderId="9" xfId="0" applyFont="1" applyFill="1" applyBorder="1" applyAlignment="1" applyProtection="1">
      <alignment horizontal="center"/>
      <protection locked="0"/>
    </xf>
    <xf numFmtId="0" fontId="40" fillId="19" borderId="39" xfId="7" applyNumberFormat="1" applyFont="1" applyFill="1" applyBorder="1" applyAlignment="1" applyProtection="1">
      <alignment horizontal="center" vertical="center"/>
      <protection locked="0"/>
    </xf>
    <xf numFmtId="0" fontId="40" fillId="19" borderId="60" xfId="7" applyNumberFormat="1" applyFont="1" applyFill="1" applyBorder="1" applyAlignment="1" applyProtection="1">
      <alignment horizontal="center" vertical="center"/>
      <protection locked="0"/>
    </xf>
    <xf numFmtId="0" fontId="22" fillId="0" borderId="1" xfId="3" applyFont="1" applyBorder="1" applyAlignment="1">
      <alignment horizontal="center"/>
    </xf>
    <xf numFmtId="44" fontId="40" fillId="19" borderId="2" xfId="7" applyFont="1" applyFill="1" applyBorder="1" applyProtection="1">
      <protection locked="0"/>
    </xf>
    <xf numFmtId="0" fontId="22" fillId="0" borderId="121" xfId="3" applyFont="1" applyBorder="1" applyAlignment="1">
      <alignment horizontal="center"/>
    </xf>
    <xf numFmtId="44" fontId="22" fillId="19" borderId="120" xfId="7" applyFont="1" applyFill="1" applyBorder="1" applyProtection="1">
      <protection locked="0"/>
    </xf>
    <xf numFmtId="8" fontId="22" fillId="19" borderId="4" xfId="7" applyNumberFormat="1" applyFont="1" applyFill="1" applyBorder="1" applyProtection="1">
      <protection locked="0"/>
    </xf>
    <xf numFmtId="44" fontId="40" fillId="19" borderId="5" xfId="7" applyFont="1" applyFill="1" applyBorder="1" applyProtection="1">
      <protection locked="0"/>
    </xf>
    <xf numFmtId="0" fontId="13" fillId="21" borderId="103" xfId="3" applyFont="1" applyFill="1" applyBorder="1" applyAlignment="1">
      <alignment horizontal="center"/>
    </xf>
    <xf numFmtId="0" fontId="22" fillId="21" borderId="7" xfId="3" applyFont="1" applyFill="1" applyBorder="1" applyAlignment="1">
      <alignment horizontal="center"/>
    </xf>
    <xf numFmtId="0" fontId="22" fillId="21" borderId="8" xfId="3" applyFont="1" applyFill="1" applyBorder="1" applyAlignment="1">
      <alignment horizontal="center"/>
    </xf>
    <xf numFmtId="0" fontId="13" fillId="21" borderId="94" xfId="3" applyFont="1" applyFill="1" applyBorder="1" applyAlignment="1">
      <alignment horizontal="center"/>
    </xf>
    <xf numFmtId="0" fontId="13" fillId="21" borderId="5" xfId="3" applyFont="1" applyFill="1" applyBorder="1" applyAlignment="1">
      <alignment horizontal="right"/>
    </xf>
    <xf numFmtId="0" fontId="22" fillId="21" borderId="4" xfId="3" applyFont="1" applyFill="1" applyBorder="1" applyAlignment="1">
      <alignment horizontal="center"/>
    </xf>
    <xf numFmtId="0" fontId="22" fillId="21" borderId="5" xfId="3" applyFont="1" applyFill="1" applyBorder="1" applyAlignment="1">
      <alignment horizontal="center"/>
    </xf>
    <xf numFmtId="0" fontId="34" fillId="42" borderId="9" xfId="0" applyFont="1" applyFill="1" applyBorder="1" applyAlignment="1" applyProtection="1">
      <alignment horizontal="center"/>
      <protection locked="0"/>
    </xf>
    <xf numFmtId="0" fontId="34" fillId="42" borderId="0" xfId="0" applyFont="1" applyFill="1" applyAlignment="1">
      <alignment horizontal="center"/>
    </xf>
    <xf numFmtId="8" fontId="22" fillId="19" borderId="16" xfId="7" applyNumberFormat="1" applyFont="1" applyFill="1" applyBorder="1" applyProtection="1">
      <protection locked="0"/>
    </xf>
    <xf numFmtId="0" fontId="40" fillId="0" borderId="6" xfId="9" applyFont="1" applyBorder="1" applyProtection="1">
      <protection locked="0"/>
    </xf>
    <xf numFmtId="0" fontId="40" fillId="0" borderId="8" xfId="9" applyFont="1" applyBorder="1" applyProtection="1">
      <protection locked="0"/>
    </xf>
    <xf numFmtId="0" fontId="40" fillId="0" borderId="1" xfId="9" applyFont="1" applyBorder="1" applyProtection="1">
      <protection locked="0"/>
    </xf>
    <xf numFmtId="0" fontId="40" fillId="0" borderId="2" xfId="9" applyFont="1" applyBorder="1" applyProtection="1">
      <protection locked="0"/>
    </xf>
    <xf numFmtId="0" fontId="40" fillId="0" borderId="3" xfId="9" applyFont="1" applyBorder="1" applyProtection="1">
      <protection locked="0"/>
    </xf>
    <xf numFmtId="0" fontId="40" fillId="0" borderId="5" xfId="9" applyFont="1" applyBorder="1" applyProtection="1">
      <protection locked="0"/>
    </xf>
    <xf numFmtId="0" fontId="13" fillId="19" borderId="127" xfId="9" applyFont="1" applyFill="1" applyBorder="1" applyProtection="1">
      <protection locked="0"/>
    </xf>
    <xf numFmtId="0" fontId="40" fillId="0" borderId="6" xfId="63" applyFont="1" applyBorder="1" applyProtection="1">
      <protection locked="0"/>
    </xf>
    <xf numFmtId="0" fontId="40" fillId="0" borderId="1" xfId="63" applyFont="1" applyBorder="1" applyProtection="1">
      <protection locked="0"/>
    </xf>
    <xf numFmtId="0" fontId="13" fillId="19" borderId="95" xfId="9" applyFont="1" applyFill="1" applyBorder="1" applyProtection="1">
      <protection locked="0"/>
    </xf>
    <xf numFmtId="0" fontId="13" fillId="19" borderId="130" xfId="9" applyFont="1" applyFill="1" applyBorder="1" applyProtection="1">
      <protection locked="0"/>
    </xf>
    <xf numFmtId="0" fontId="4" fillId="19" borderId="95" xfId="9" applyFont="1" applyFill="1" applyBorder="1" applyProtection="1">
      <protection locked="0"/>
    </xf>
    <xf numFmtId="44" fontId="13" fillId="19" borderId="129" xfId="7" applyFont="1" applyFill="1" applyBorder="1" applyProtection="1">
      <protection locked="0"/>
    </xf>
    <xf numFmtId="0" fontId="47" fillId="42" borderId="47" xfId="3" applyFont="1" applyFill="1" applyBorder="1" applyProtection="1">
      <protection locked="0"/>
    </xf>
    <xf numFmtId="0" fontId="40" fillId="42" borderId="48" xfId="3" applyFont="1" applyFill="1" applyBorder="1" applyProtection="1">
      <protection locked="0"/>
    </xf>
    <xf numFmtId="0" fontId="27" fillId="42" borderId="0" xfId="3" applyFill="1"/>
    <xf numFmtId="169" fontId="7" fillId="42" borderId="43" xfId="2" applyNumberFormat="1" applyFont="1" applyFill="1" applyBorder="1" applyAlignment="1" applyProtection="1">
      <alignment horizontal="center" vertical="center"/>
      <protection locked="0"/>
    </xf>
    <xf numFmtId="0" fontId="4" fillId="0" borderId="0" xfId="3" applyFont="1"/>
    <xf numFmtId="0" fontId="40" fillId="31" borderId="47" xfId="9" applyFont="1" applyFill="1" applyBorder="1" applyProtection="1">
      <protection locked="0"/>
    </xf>
    <xf numFmtId="0" fontId="38" fillId="0" borderId="103" xfId="8" applyFont="1" applyBorder="1" applyAlignment="1">
      <alignment horizontal="center" vertical="center" wrapText="1"/>
    </xf>
    <xf numFmtId="0" fontId="38" fillId="0" borderId="104" xfId="8" applyFont="1" applyBorder="1" applyAlignment="1">
      <alignment horizontal="center" vertical="center" wrapText="1"/>
    </xf>
    <xf numFmtId="0" fontId="42" fillId="0" borderId="6" xfId="8" applyFont="1" applyBorder="1" applyAlignment="1">
      <alignment horizontal="center" vertical="center"/>
    </xf>
    <xf numFmtId="0" fontId="42" fillId="0" borderId="1" xfId="8" applyFont="1" applyBorder="1" applyAlignment="1">
      <alignment horizontal="center" vertical="center"/>
    </xf>
    <xf numFmtId="0" fontId="42" fillId="0" borderId="3" xfId="8" applyFont="1" applyBorder="1" applyAlignment="1">
      <alignment horizontal="center" vertical="center"/>
    </xf>
    <xf numFmtId="1" fontId="38" fillId="18" borderId="0" xfId="8" applyNumberFormat="1" applyFont="1" applyFill="1" applyAlignment="1">
      <alignment horizontal="center" vertical="center" textRotation="180"/>
    </xf>
    <xf numFmtId="0" fontId="38" fillId="21" borderId="7" xfId="8" applyFont="1" applyFill="1" applyBorder="1" applyAlignment="1">
      <alignment horizontal="center"/>
    </xf>
    <xf numFmtId="0" fontId="38" fillId="21" borderId="8" xfId="8" applyFont="1" applyFill="1" applyBorder="1" applyAlignment="1">
      <alignment horizontal="center"/>
    </xf>
    <xf numFmtId="44" fontId="18" fillId="25" borderId="37" xfId="7" applyFont="1" applyFill="1" applyBorder="1" applyAlignment="1" applyProtection="1">
      <alignment horizontal="center" vertical="center"/>
      <protection locked="0"/>
    </xf>
    <xf numFmtId="0" fontId="18" fillId="25" borderId="39" xfId="7" applyNumberFormat="1" applyFont="1" applyFill="1" applyBorder="1" applyAlignment="1" applyProtection="1">
      <alignment horizontal="center" vertical="center"/>
      <protection locked="0"/>
    </xf>
    <xf numFmtId="44" fontId="18" fillId="25" borderId="58" xfId="7" applyFont="1" applyFill="1" applyBorder="1" applyAlignment="1" applyProtection="1">
      <alignment horizontal="center" vertical="center"/>
      <protection locked="0"/>
    </xf>
    <xf numFmtId="0" fontId="47" fillId="0" borderId="45" xfId="9" applyFont="1" applyBorder="1" applyProtection="1">
      <protection locked="0"/>
    </xf>
    <xf numFmtId="0" fontId="27" fillId="0" borderId="47" xfId="3" applyBorder="1"/>
    <xf numFmtId="0" fontId="26" fillId="43" borderId="45" xfId="3" applyFont="1" applyFill="1" applyBorder="1"/>
    <xf numFmtId="0" fontId="26" fillId="43" borderId="47" xfId="3" applyFont="1" applyFill="1" applyBorder="1"/>
    <xf numFmtId="0" fontId="15" fillId="43" borderId="47" xfId="3" applyFont="1" applyFill="1" applyBorder="1"/>
    <xf numFmtId="0" fontId="12" fillId="43" borderId="47" xfId="3" applyFont="1" applyFill="1" applyBorder="1"/>
    <xf numFmtId="0" fontId="22" fillId="43" borderId="47" xfId="3" applyFont="1" applyFill="1" applyBorder="1"/>
    <xf numFmtId="44" fontId="40" fillId="17" borderId="1" xfId="7" applyFont="1" applyFill="1" applyBorder="1" applyAlignment="1" applyProtection="1">
      <alignment horizontal="center"/>
      <protection locked="0"/>
    </xf>
    <xf numFmtId="0" fontId="22" fillId="0" borderId="2" xfId="9" applyBorder="1" applyProtection="1">
      <protection locked="0"/>
    </xf>
    <xf numFmtId="44" fontId="47" fillId="0" borderId="1" xfId="7" applyFont="1" applyBorder="1" applyAlignment="1" applyProtection="1">
      <alignment horizontal="center"/>
      <protection locked="0"/>
    </xf>
    <xf numFmtId="0" fontId="40" fillId="6" borderId="132" xfId="9" applyFont="1" applyFill="1" applyBorder="1" applyProtection="1">
      <protection locked="0"/>
    </xf>
    <xf numFmtId="0" fontId="40" fillId="6" borderId="2" xfId="9" applyFont="1" applyFill="1" applyBorder="1" applyProtection="1">
      <protection locked="0"/>
    </xf>
    <xf numFmtId="0" fontId="44" fillId="21" borderId="20" xfId="8" applyFont="1" applyFill="1" applyBorder="1" applyAlignment="1">
      <alignment horizontal="center"/>
    </xf>
    <xf numFmtId="0" fontId="44" fillId="21" borderId="21" xfId="8" applyFont="1" applyFill="1" applyBorder="1" applyAlignment="1">
      <alignment horizontal="center"/>
    </xf>
    <xf numFmtId="0" fontId="24" fillId="21" borderId="21" xfId="8" applyFill="1" applyBorder="1" applyAlignment="1">
      <alignment horizontal="center"/>
    </xf>
    <xf numFmtId="0" fontId="24" fillId="21" borderId="22" xfId="8" applyFill="1" applyBorder="1" applyAlignment="1">
      <alignment horizontal="center"/>
    </xf>
    <xf numFmtId="0" fontId="42" fillId="0" borderId="0" xfId="8" applyFont="1" applyAlignment="1">
      <alignment horizontal="center" vertical="center"/>
    </xf>
    <xf numFmtId="0" fontId="42" fillId="0" borderId="2" xfId="8" applyFont="1" applyBorder="1" applyAlignment="1">
      <alignment horizontal="center" vertical="center"/>
    </xf>
    <xf numFmtId="0" fontId="38" fillId="30" borderId="100" xfId="8" applyFont="1" applyFill="1" applyBorder="1" applyAlignment="1">
      <alignment horizontal="center"/>
    </xf>
    <xf numFmtId="0" fontId="38" fillId="30" borderId="101" xfId="8" applyFont="1" applyFill="1" applyBorder="1" applyAlignment="1">
      <alignment horizontal="center"/>
    </xf>
    <xf numFmtId="1" fontId="6" fillId="32" borderId="99" xfId="8" applyNumberFormat="1" applyFont="1" applyFill="1" applyBorder="1" applyAlignment="1" applyProtection="1">
      <alignment horizontal="center" vertical="center"/>
      <protection locked="0"/>
    </xf>
    <xf numFmtId="1" fontId="6" fillId="4" borderId="99" xfId="8" applyNumberFormat="1" applyFont="1" applyFill="1" applyBorder="1" applyAlignment="1" applyProtection="1">
      <alignment horizontal="center" vertical="center"/>
      <protection locked="0"/>
    </xf>
    <xf numFmtId="1" fontId="6" fillId="34" borderId="99" xfId="8" applyNumberFormat="1" applyFont="1" applyFill="1" applyBorder="1" applyAlignment="1" applyProtection="1">
      <alignment horizontal="center" vertical="center"/>
      <protection locked="0"/>
    </xf>
    <xf numFmtId="0" fontId="3" fillId="38" borderId="110" xfId="8" applyFont="1" applyFill="1" applyBorder="1" applyAlignment="1">
      <alignment horizontal="center"/>
    </xf>
    <xf numFmtId="1" fontId="6" fillId="31" borderId="99" xfId="8" applyNumberFormat="1" applyFont="1" applyFill="1" applyBorder="1" applyAlignment="1" applyProtection="1">
      <alignment horizontal="center" vertical="center"/>
      <protection locked="0"/>
    </xf>
    <xf numFmtId="0" fontId="3" fillId="31" borderId="102" xfId="8" applyFont="1" applyFill="1" applyBorder="1" applyAlignment="1">
      <alignment horizontal="center"/>
    </xf>
    <xf numFmtId="1" fontId="6" fillId="44" borderId="99" xfId="8" applyNumberFormat="1" applyFont="1" applyFill="1" applyBorder="1" applyAlignment="1" applyProtection="1">
      <alignment horizontal="center" vertical="center"/>
      <protection locked="0"/>
    </xf>
    <xf numFmtId="0" fontId="3" fillId="19" borderId="1" xfId="8" applyFont="1" applyFill="1" applyBorder="1" applyAlignment="1" applyProtection="1">
      <alignment horizontal="center" vertical="center"/>
      <protection locked="0"/>
    </xf>
    <xf numFmtId="0" fontId="24" fillId="0" borderId="4" xfId="8" applyBorder="1"/>
    <xf numFmtId="0" fontId="46" fillId="44" borderId="0" xfId="8" applyFont="1" applyFill="1"/>
    <xf numFmtId="0" fontId="46" fillId="44" borderId="2" xfId="8" applyFont="1" applyFill="1" applyBorder="1"/>
    <xf numFmtId="0" fontId="3" fillId="19" borderId="3" xfId="8" applyFont="1" applyFill="1" applyBorder="1" applyAlignment="1" applyProtection="1">
      <alignment horizontal="center" vertical="center"/>
      <protection locked="0"/>
    </xf>
    <xf numFmtId="0" fontId="3" fillId="19" borderId="2" xfId="8" applyFont="1" applyFill="1" applyBorder="1" applyAlignment="1" applyProtection="1">
      <alignment horizontal="center" vertical="center"/>
      <protection locked="0"/>
    </xf>
    <xf numFmtId="0" fontId="3" fillId="19" borderId="5" xfId="8" applyFont="1" applyFill="1" applyBorder="1" applyAlignment="1" applyProtection="1">
      <alignment horizontal="center" vertical="center"/>
      <protection locked="0"/>
    </xf>
    <xf numFmtId="0" fontId="3" fillId="0" borderId="1" xfId="8" applyFont="1" applyBorder="1"/>
    <xf numFmtId="0" fontId="3" fillId="0" borderId="0" xfId="3" applyFont="1"/>
    <xf numFmtId="2" fontId="25" fillId="19" borderId="9" xfId="3" applyNumberFormat="1" applyFont="1" applyFill="1" applyBorder="1" applyAlignment="1" applyProtection="1">
      <alignment horizontal="center"/>
      <protection locked="0"/>
    </xf>
    <xf numFmtId="0" fontId="50" fillId="35" borderId="113" xfId="8" applyFont="1" applyFill="1" applyBorder="1" applyProtection="1">
      <protection locked="0"/>
    </xf>
    <xf numFmtId="0" fontId="50" fillId="36" borderId="9" xfId="8" applyFont="1" applyFill="1" applyBorder="1" applyProtection="1">
      <protection locked="0"/>
    </xf>
    <xf numFmtId="0" fontId="50" fillId="33" borderId="9" xfId="8" applyFont="1" applyFill="1" applyBorder="1" applyProtection="1">
      <protection locked="0"/>
    </xf>
    <xf numFmtId="0" fontId="50" fillId="39" borderId="9" xfId="8" applyFont="1" applyFill="1" applyBorder="1" applyProtection="1">
      <protection locked="0"/>
    </xf>
    <xf numFmtId="0" fontId="40" fillId="40" borderId="33" xfId="8" applyFont="1" applyFill="1" applyBorder="1" applyAlignment="1" applyProtection="1">
      <alignment horizontal="center"/>
      <protection locked="0"/>
    </xf>
    <xf numFmtId="0" fontId="50" fillId="28" borderId="113" xfId="8" applyFont="1" applyFill="1" applyBorder="1" applyProtection="1">
      <protection locked="0"/>
    </xf>
    <xf numFmtId="0" fontId="50" fillId="30" borderId="9" xfId="8" applyFont="1" applyFill="1" applyBorder="1" applyProtection="1">
      <protection locked="0"/>
    </xf>
    <xf numFmtId="0" fontId="50" fillId="30" borderId="113" xfId="8" applyFont="1" applyFill="1" applyBorder="1" applyProtection="1">
      <protection locked="0"/>
    </xf>
    <xf numFmtId="0" fontId="50" fillId="29" borderId="9" xfId="8" applyFont="1" applyFill="1" applyBorder="1" applyProtection="1">
      <protection locked="0"/>
    </xf>
    <xf numFmtId="0" fontId="50" fillId="36" borderId="113" xfId="8" applyFont="1" applyFill="1" applyBorder="1" applyProtection="1">
      <protection locked="0"/>
    </xf>
    <xf numFmtId="0" fontId="50" fillId="29" borderId="113" xfId="8" applyFont="1" applyFill="1" applyBorder="1" applyProtection="1">
      <protection locked="0"/>
    </xf>
    <xf numFmtId="0" fontId="50" fillId="39" borderId="113" xfId="8" applyFont="1" applyFill="1" applyBorder="1" applyProtection="1">
      <protection locked="0"/>
    </xf>
    <xf numFmtId="0" fontId="50" fillId="33" borderId="114" xfId="8" applyFont="1" applyFill="1" applyBorder="1" applyProtection="1">
      <protection locked="0"/>
    </xf>
    <xf numFmtId="0" fontId="50" fillId="29" borderId="105" xfId="8" applyFont="1" applyFill="1" applyBorder="1" applyProtection="1">
      <protection locked="0"/>
    </xf>
    <xf numFmtId="0" fontId="40" fillId="40" borderId="41" xfId="8" applyFont="1" applyFill="1" applyBorder="1" applyAlignment="1" applyProtection="1">
      <alignment horizontal="center"/>
      <protection locked="0"/>
    </xf>
    <xf numFmtId="164" fontId="13" fillId="19" borderId="16" xfId="3" applyNumberFormat="1" applyFont="1" applyFill="1" applyBorder="1" applyProtection="1">
      <protection locked="0"/>
    </xf>
    <xf numFmtId="44" fontId="26" fillId="41" borderId="57" xfId="7" applyFont="1" applyFill="1" applyBorder="1" applyProtection="1">
      <protection locked="0"/>
    </xf>
    <xf numFmtId="44" fontId="38" fillId="41" borderId="58" xfId="7" applyFont="1" applyFill="1" applyBorder="1" applyAlignment="1" applyProtection="1">
      <alignment horizontal="center"/>
      <protection locked="0"/>
    </xf>
    <xf numFmtId="44" fontId="40" fillId="41" borderId="58" xfId="7" applyFont="1" applyFill="1" applyBorder="1" applyProtection="1">
      <protection locked="0"/>
    </xf>
    <xf numFmtId="44" fontId="26" fillId="41" borderId="58" xfId="7" applyFont="1" applyFill="1" applyBorder="1" applyProtection="1">
      <protection locked="0"/>
    </xf>
    <xf numFmtId="0" fontId="22" fillId="41" borderId="58" xfId="9" applyFill="1" applyBorder="1" applyProtection="1">
      <protection locked="0"/>
    </xf>
    <xf numFmtId="0" fontId="22" fillId="41" borderId="61" xfId="9" applyFill="1" applyBorder="1" applyProtection="1">
      <protection locked="0"/>
    </xf>
    <xf numFmtId="44" fontId="40" fillId="19" borderId="57" xfId="7" applyFont="1" applyFill="1" applyBorder="1" applyAlignment="1" applyProtection="1">
      <alignment horizontal="center" vertical="center"/>
      <protection locked="0"/>
    </xf>
    <xf numFmtId="44" fontId="40" fillId="19" borderId="58" xfId="7" applyFont="1" applyFill="1" applyBorder="1" applyAlignment="1" applyProtection="1">
      <alignment horizontal="center" vertical="center"/>
      <protection locked="0"/>
    </xf>
    <xf numFmtId="44" fontId="40" fillId="19" borderId="16" xfId="7" applyFont="1" applyFill="1" applyBorder="1" applyAlignment="1" applyProtection="1">
      <alignment horizontal="right" vertical="center"/>
      <protection locked="0"/>
    </xf>
    <xf numFmtId="0" fontId="3" fillId="0" borderId="0" xfId="9" applyFont="1"/>
    <xf numFmtId="0" fontId="3" fillId="0" borderId="48" xfId="9" applyFont="1" applyBorder="1"/>
    <xf numFmtId="173" fontId="40" fillId="0" borderId="48" xfId="9" applyNumberFormat="1" applyFont="1" applyBorder="1" applyProtection="1">
      <protection locked="0"/>
    </xf>
    <xf numFmtId="0" fontId="40" fillId="19" borderId="9" xfId="3" applyFont="1" applyFill="1" applyBorder="1" applyAlignment="1" applyProtection="1">
      <alignment horizontal="center"/>
      <protection locked="0"/>
    </xf>
    <xf numFmtId="0" fontId="47" fillId="0" borderId="47" xfId="3" applyFont="1" applyBorder="1"/>
    <xf numFmtId="1" fontId="13" fillId="19" borderId="79" xfId="19" applyNumberFormat="1" applyFont="1" applyFill="1" applyBorder="1" applyAlignment="1" applyProtection="1">
      <alignment horizontal="center" vertical="center"/>
      <protection locked="0"/>
    </xf>
    <xf numFmtId="2" fontId="13" fillId="19" borderId="82" xfId="19" applyNumberFormat="1" applyFont="1" applyFill="1" applyBorder="1" applyAlignment="1" applyProtection="1">
      <alignment horizontal="center" vertical="center"/>
      <protection locked="0"/>
    </xf>
    <xf numFmtId="168" fontId="13" fillId="19" borderId="85" xfId="19" applyNumberFormat="1" applyFont="1" applyFill="1" applyBorder="1" applyAlignment="1" applyProtection="1">
      <alignment horizontal="center" vertical="center"/>
      <protection locked="0"/>
    </xf>
    <xf numFmtId="170" fontId="24" fillId="19" borderId="133" xfId="3" applyNumberFormat="1" applyFont="1" applyFill="1" applyBorder="1" applyAlignment="1" applyProtection="1">
      <alignment horizontal="center"/>
      <protection locked="0"/>
    </xf>
    <xf numFmtId="2" fontId="13" fillId="19" borderId="134" xfId="19" applyNumberFormat="1" applyFont="1" applyFill="1" applyBorder="1" applyAlignment="1" applyProtection="1">
      <alignment horizontal="center" vertical="center"/>
      <protection locked="0"/>
    </xf>
    <xf numFmtId="168" fontId="24" fillId="19" borderId="135" xfId="3" applyNumberFormat="1" applyFont="1" applyFill="1" applyBorder="1" applyAlignment="1" applyProtection="1">
      <alignment horizontal="center"/>
      <protection locked="0"/>
    </xf>
    <xf numFmtId="0" fontId="48" fillId="0" borderId="0" xfId="0" applyFont="1"/>
    <xf numFmtId="0" fontId="0" fillId="0" borderId="136" xfId="0" applyBorder="1" applyProtection="1">
      <protection locked="0"/>
    </xf>
    <xf numFmtId="0" fontId="0" fillId="0" borderId="137" xfId="0" applyBorder="1" applyProtection="1">
      <protection locked="0"/>
    </xf>
    <xf numFmtId="0" fontId="0" fillId="0" borderId="138" xfId="0" applyBorder="1" applyAlignment="1" applyProtection="1">
      <alignment horizontal="centerContinuous" vertical="center"/>
      <protection locked="0"/>
    </xf>
    <xf numFmtId="0" fontId="48" fillId="0" borderId="137" xfId="0" applyFont="1" applyBorder="1" applyProtection="1">
      <protection locked="0"/>
    </xf>
    <xf numFmtId="0" fontId="0" fillId="12" borderId="136" xfId="0" applyFill="1" applyBorder="1" applyAlignment="1" applyProtection="1">
      <alignment horizontal="centerContinuous" vertical="center"/>
      <protection locked="0"/>
    </xf>
    <xf numFmtId="0" fontId="0" fillId="12" borderId="137" xfId="0" applyFill="1" applyBorder="1" applyAlignment="1" applyProtection="1">
      <alignment horizontal="centerContinuous" vertical="center"/>
      <protection locked="0"/>
    </xf>
    <xf numFmtId="0" fontId="0" fillId="12" borderId="138" xfId="0" applyFill="1" applyBorder="1" applyAlignment="1" applyProtection="1">
      <alignment horizontal="centerContinuous" vertical="center"/>
      <protection locked="0"/>
    </xf>
    <xf numFmtId="0" fontId="0" fillId="12" borderId="139" xfId="0" applyFill="1" applyBorder="1" applyAlignment="1" applyProtection="1">
      <alignment horizontal="centerContinuous" vertical="center"/>
      <protection locked="0"/>
    </xf>
    <xf numFmtId="0" fontId="0" fillId="12" borderId="140" xfId="0" applyFill="1" applyBorder="1" applyAlignment="1" applyProtection="1">
      <alignment horizontal="centerContinuous" vertical="center"/>
      <protection locked="0"/>
    </xf>
    <xf numFmtId="0" fontId="0" fillId="0" borderId="141" xfId="0" applyBorder="1" applyProtection="1">
      <protection locked="0"/>
    </xf>
    <xf numFmtId="0" fontId="0" fillId="6" borderId="142" xfId="0" applyFill="1" applyBorder="1" applyProtection="1">
      <protection locked="0"/>
    </xf>
    <xf numFmtId="0" fontId="0" fillId="6" borderId="143" xfId="0" applyFill="1" applyBorder="1" applyProtection="1">
      <protection locked="0"/>
    </xf>
    <xf numFmtId="0" fontId="0" fillId="11" borderId="144" xfId="0" applyFill="1" applyBorder="1" applyAlignment="1" applyProtection="1">
      <alignment horizontal="centerContinuous" vertical="center"/>
      <protection locked="0"/>
    </xf>
    <xf numFmtId="0" fontId="0" fillId="11" borderId="145" xfId="0" applyFill="1" applyBorder="1" applyAlignment="1" applyProtection="1">
      <alignment horizontal="centerContinuous" vertical="center"/>
      <protection locked="0"/>
    </xf>
    <xf numFmtId="0" fontId="0" fillId="15" borderId="145" xfId="0" applyFill="1" applyBorder="1" applyAlignment="1" applyProtection="1">
      <alignment horizontal="centerContinuous" vertical="center"/>
      <protection locked="0"/>
    </xf>
    <xf numFmtId="0" fontId="0" fillId="15" borderId="146" xfId="0" applyFill="1" applyBorder="1" applyAlignment="1" applyProtection="1">
      <alignment horizontal="centerContinuous" vertical="center"/>
      <protection locked="0"/>
    </xf>
    <xf numFmtId="0" fontId="13" fillId="6" borderId="103" xfId="3" applyFont="1" applyFill="1" applyBorder="1" applyAlignment="1">
      <alignment horizontal="right"/>
    </xf>
    <xf numFmtId="44" fontId="40" fillId="19" borderId="0" xfId="7" applyFont="1" applyFill="1" applyBorder="1" applyProtection="1">
      <protection locked="0"/>
    </xf>
    <xf numFmtId="44" fontId="40" fillId="19" borderId="4" xfId="7" applyFont="1" applyFill="1" applyBorder="1" applyProtection="1">
      <protection locked="0"/>
    </xf>
    <xf numFmtId="44" fontId="47" fillId="0" borderId="47" xfId="39" applyFont="1" applyFill="1" applyBorder="1" applyProtection="1">
      <protection locked="0"/>
    </xf>
    <xf numFmtId="44" fontId="57" fillId="19" borderId="76" xfId="9" applyNumberFormat="1" applyFont="1" applyFill="1" applyBorder="1" applyProtection="1">
      <protection locked="0"/>
    </xf>
    <xf numFmtId="0" fontId="58" fillId="0" borderId="47" xfId="87" applyFont="1" applyBorder="1" applyProtection="1">
      <protection locked="0"/>
    </xf>
    <xf numFmtId="44" fontId="47" fillId="19" borderId="58" xfId="9" applyNumberFormat="1" applyFont="1" applyFill="1" applyBorder="1" applyProtection="1">
      <protection locked="0"/>
    </xf>
    <xf numFmtId="44" fontId="58" fillId="19" borderId="42" xfId="7" applyFont="1" applyFill="1" applyBorder="1" applyAlignment="1" applyProtection="1">
      <alignment horizontal="center" vertical="center"/>
      <protection locked="0"/>
    </xf>
    <xf numFmtId="44" fontId="58" fillId="19" borderId="44" xfId="7" applyFont="1" applyFill="1" applyBorder="1" applyAlignment="1" applyProtection="1">
      <alignment horizontal="center" vertical="center"/>
      <protection locked="0"/>
    </xf>
    <xf numFmtId="0" fontId="47" fillId="0" borderId="0" xfId="9" applyFont="1" applyProtection="1">
      <protection locked="0"/>
    </xf>
    <xf numFmtId="44" fontId="47" fillId="0" borderId="47" xfId="7" applyFont="1" applyBorder="1" applyProtection="1">
      <protection locked="0"/>
    </xf>
    <xf numFmtId="0" fontId="58" fillId="19" borderId="43" xfId="9" applyFont="1" applyFill="1" applyBorder="1" applyAlignment="1" applyProtection="1">
      <alignment horizontal="center"/>
      <protection locked="0"/>
    </xf>
    <xf numFmtId="1" fontId="40" fillId="6" borderId="43" xfId="7" applyNumberFormat="1" applyFont="1" applyFill="1" applyBorder="1" applyAlignment="1" applyProtection="1">
      <alignment horizontal="center" vertical="center"/>
      <protection locked="0"/>
    </xf>
    <xf numFmtId="0" fontId="27" fillId="31" borderId="0" xfId="3" applyFill="1"/>
    <xf numFmtId="0" fontId="2" fillId="0" borderId="0" xfId="3" applyFont="1"/>
    <xf numFmtId="0" fontId="38" fillId="27" borderId="0" xfId="3" applyFont="1" applyFill="1"/>
    <xf numFmtId="0" fontId="60" fillId="27" borderId="0" xfId="3" applyFont="1" applyFill="1" applyAlignment="1">
      <alignment horizontal="center"/>
    </xf>
    <xf numFmtId="0" fontId="60" fillId="27" borderId="0" xfId="3" applyFont="1" applyFill="1"/>
    <xf numFmtId="2" fontId="40" fillId="6" borderId="43" xfId="19" applyNumberFormat="1" applyFont="1" applyFill="1" applyBorder="1" applyAlignment="1" applyProtection="1">
      <alignment horizontal="center" vertical="center"/>
      <protection locked="0"/>
    </xf>
    <xf numFmtId="2" fontId="40" fillId="6" borderId="43" xfId="3" applyNumberFormat="1" applyFont="1" applyFill="1" applyBorder="1" applyAlignment="1" applyProtection="1">
      <alignment horizontal="center"/>
      <protection locked="0"/>
    </xf>
    <xf numFmtId="168" fontId="40" fillId="6" borderId="44" xfId="3" applyNumberFormat="1" applyFont="1" applyFill="1" applyBorder="1" applyAlignment="1" applyProtection="1">
      <alignment horizontal="center"/>
      <protection locked="0"/>
    </xf>
    <xf numFmtId="0" fontId="40" fillId="0" borderId="46" xfId="9" applyFont="1" applyBorder="1"/>
    <xf numFmtId="44" fontId="40" fillId="0" borderId="0" xfId="9" applyNumberFormat="1" applyFont="1" applyProtection="1">
      <protection locked="0"/>
    </xf>
    <xf numFmtId="0" fontId="40" fillId="0" borderId="45" xfId="9" applyFont="1" applyBorder="1"/>
    <xf numFmtId="0" fontId="22" fillId="0" borderId="14" xfId="9" applyBorder="1"/>
    <xf numFmtId="0" fontId="22" fillId="0" borderId="46" xfId="9" applyBorder="1"/>
    <xf numFmtId="0" fontId="22" fillId="0" borderId="48" xfId="9" applyBorder="1"/>
    <xf numFmtId="0" fontId="40" fillId="0" borderId="18" xfId="9" applyFont="1" applyBorder="1" applyProtection="1">
      <protection locked="0"/>
    </xf>
    <xf numFmtId="0" fontId="22" fillId="0" borderId="18" xfId="9" applyBorder="1"/>
    <xf numFmtId="0" fontId="22" fillId="0" borderId="50" xfId="9" applyBorder="1"/>
    <xf numFmtId="44" fontId="22" fillId="0" borderId="14" xfId="9" applyNumberFormat="1" applyBorder="1"/>
    <xf numFmtId="44" fontId="40" fillId="6" borderId="38" xfId="9" applyNumberFormat="1" applyFont="1" applyFill="1" applyBorder="1" applyProtection="1">
      <protection locked="0"/>
    </xf>
    <xf numFmtId="0" fontId="47" fillId="6" borderId="47" xfId="9" applyFont="1" applyFill="1" applyBorder="1" applyProtection="1">
      <protection locked="0"/>
    </xf>
    <xf numFmtId="0" fontId="40" fillId="6" borderId="0" xfId="9" applyFont="1" applyFill="1" applyProtection="1">
      <protection locked="0"/>
    </xf>
    <xf numFmtId="165" fontId="40" fillId="19" borderId="123" xfId="3" applyNumberFormat="1" applyFont="1" applyFill="1" applyBorder="1" applyProtection="1">
      <protection locked="0"/>
    </xf>
    <xf numFmtId="44" fontId="40" fillId="6" borderId="38" xfId="7" applyFont="1" applyFill="1" applyBorder="1" applyProtection="1">
      <protection locked="0"/>
    </xf>
    <xf numFmtId="44" fontId="40" fillId="6" borderId="0" xfId="9" applyNumberFormat="1" applyFont="1" applyFill="1" applyProtection="1">
      <protection locked="0"/>
    </xf>
    <xf numFmtId="0" fontId="22" fillId="6" borderId="0" xfId="9" applyFill="1"/>
    <xf numFmtId="44" fontId="40" fillId="0" borderId="64" xfId="9" applyNumberFormat="1" applyFont="1" applyBorder="1" applyProtection="1">
      <protection locked="0"/>
    </xf>
    <xf numFmtId="0" fontId="40" fillId="0" borderId="62" xfId="9" applyFont="1" applyBorder="1" applyAlignment="1" applyProtection="1">
      <alignment horizontal="right"/>
      <protection locked="0"/>
    </xf>
    <xf numFmtId="0" fontId="2" fillId="19" borderId="131" xfId="9" applyFont="1" applyFill="1" applyBorder="1" applyProtection="1">
      <protection locked="0"/>
    </xf>
    <xf numFmtId="0" fontId="2" fillId="0" borderId="0" xfId="9" applyFont="1"/>
    <xf numFmtId="44" fontId="47" fillId="6" borderId="124" xfId="7" applyFont="1" applyFill="1" applyBorder="1" applyProtection="1">
      <protection locked="0"/>
    </xf>
    <xf numFmtId="0" fontId="47" fillId="6" borderId="47" xfId="87" applyFont="1" applyFill="1" applyBorder="1" applyProtection="1">
      <protection locked="0"/>
    </xf>
    <xf numFmtId="0" fontId="40" fillId="6" borderId="48" xfId="9" applyFont="1" applyFill="1" applyBorder="1" applyProtection="1">
      <protection locked="0"/>
    </xf>
    <xf numFmtId="0" fontId="2" fillId="19" borderId="95" xfId="9" applyFont="1" applyFill="1" applyBorder="1" applyProtection="1">
      <protection locked="0"/>
    </xf>
    <xf numFmtId="0" fontId="63" fillId="6" borderId="0" xfId="9" applyFont="1" applyFill="1"/>
    <xf numFmtId="0" fontId="22" fillId="0" borderId="8" xfId="9" applyBorder="1"/>
    <xf numFmtId="9" fontId="22" fillId="0" borderId="5" xfId="2" applyFont="1" applyBorder="1"/>
    <xf numFmtId="44" fontId="40" fillId="6" borderId="42" xfId="7" applyFont="1" applyFill="1" applyBorder="1" applyAlignment="1" applyProtection="1">
      <alignment horizontal="center" vertical="center"/>
      <protection locked="0"/>
    </xf>
    <xf numFmtId="44" fontId="40" fillId="6" borderId="44" xfId="7" applyFont="1" applyFill="1" applyBorder="1" applyAlignment="1" applyProtection="1">
      <alignment horizontal="center" vertical="center"/>
      <protection locked="0"/>
    </xf>
    <xf numFmtId="172" fontId="40" fillId="19" borderId="43" xfId="7" applyNumberFormat="1" applyFont="1" applyFill="1" applyBorder="1" applyAlignment="1" applyProtection="1">
      <alignment horizontal="center" vertical="center"/>
      <protection locked="0"/>
    </xf>
    <xf numFmtId="172" fontId="40" fillId="19" borderId="44" xfId="7" applyNumberFormat="1" applyFont="1" applyFill="1" applyBorder="1" applyAlignment="1" applyProtection="1">
      <alignment horizontal="center" vertical="center"/>
      <protection locked="0"/>
    </xf>
    <xf numFmtId="1" fontId="40" fillId="6" borderId="42" xfId="9" applyNumberFormat="1" applyFont="1" applyFill="1" applyBorder="1" applyAlignment="1" applyProtection="1">
      <alignment horizontal="center"/>
      <protection locked="0"/>
    </xf>
    <xf numFmtId="1" fontId="47" fillId="6" borderId="44" xfId="9" applyNumberFormat="1" applyFont="1" applyFill="1" applyBorder="1" applyAlignment="1" applyProtection="1">
      <alignment horizontal="center"/>
      <protection locked="0"/>
    </xf>
    <xf numFmtId="8" fontId="40" fillId="27" borderId="147" xfId="7" applyNumberFormat="1" applyFont="1" applyFill="1" applyBorder="1" applyProtection="1">
      <protection locked="0"/>
    </xf>
    <xf numFmtId="0" fontId="40" fillId="0" borderId="11" xfId="9" applyFont="1" applyBorder="1" applyAlignment="1">
      <alignment horizontal="center"/>
    </xf>
    <xf numFmtId="0" fontId="40" fillId="0" borderId="13" xfId="9" applyFont="1" applyBorder="1" applyAlignment="1">
      <alignment horizontal="center"/>
    </xf>
    <xf numFmtId="44" fontId="26" fillId="19" borderId="62" xfId="3" applyNumberFormat="1" applyFont="1" applyFill="1" applyBorder="1" applyAlignment="1" applyProtection="1">
      <alignment horizontal="center" vertical="center"/>
      <protection locked="0"/>
    </xf>
    <xf numFmtId="44" fontId="26" fillId="19" borderId="19" xfId="3" applyNumberFormat="1" applyFont="1" applyFill="1" applyBorder="1" applyAlignment="1" applyProtection="1">
      <alignment horizontal="center" vertical="center"/>
      <protection locked="0"/>
    </xf>
    <xf numFmtId="44" fontId="26" fillId="19" borderId="64" xfId="3" applyNumberFormat="1" applyFont="1" applyFill="1" applyBorder="1" applyAlignment="1" applyProtection="1">
      <alignment horizontal="center" vertical="center"/>
      <protection locked="0"/>
    </xf>
    <xf numFmtId="0" fontId="2" fillId="6" borderId="0" xfId="3" applyFont="1" applyFill="1" applyAlignment="1">
      <alignment horizontal="center"/>
    </xf>
    <xf numFmtId="0" fontId="59" fillId="31" borderId="0" xfId="3" applyFont="1" applyFill="1" applyAlignment="1">
      <alignment horizontal="center"/>
    </xf>
    <xf numFmtId="0" fontId="61" fillId="6" borderId="0" xfId="3" applyFont="1" applyFill="1" applyAlignment="1">
      <alignment horizontal="center"/>
    </xf>
    <xf numFmtId="0" fontId="37" fillId="21" borderId="72" xfId="0" applyFont="1" applyFill="1" applyBorder="1" applyAlignment="1" applyProtection="1">
      <alignment horizontal="left"/>
      <protection locked="0"/>
    </xf>
    <xf numFmtId="0" fontId="37" fillId="21" borderId="73" xfId="0" applyFont="1" applyFill="1" applyBorder="1" applyAlignment="1" applyProtection="1">
      <alignment horizontal="left"/>
      <protection locked="0"/>
    </xf>
    <xf numFmtId="0" fontId="48" fillId="0" borderId="0" xfId="0" applyFont="1" applyAlignment="1">
      <alignment horizontal="left" vertical="top" wrapText="1"/>
    </xf>
    <xf numFmtId="0" fontId="48" fillId="0" borderId="48" xfId="0" applyFont="1" applyBorder="1" applyAlignment="1">
      <alignment horizontal="left" vertical="top" wrapText="1"/>
    </xf>
    <xf numFmtId="0" fontId="3" fillId="0" borderId="6" xfId="8" applyFont="1" applyBorder="1" applyAlignment="1">
      <alignment horizontal="center"/>
    </xf>
    <xf numFmtId="0" fontId="24" fillId="0" borderId="8" xfId="8" applyBorder="1" applyAlignment="1">
      <alignment horizontal="center"/>
    </xf>
    <xf numFmtId="0" fontId="3" fillId="0" borderId="1" xfId="8" applyFont="1" applyBorder="1" applyAlignment="1">
      <alignment horizontal="center"/>
    </xf>
    <xf numFmtId="0" fontId="3" fillId="0" borderId="2" xfId="8" applyFont="1" applyBorder="1" applyAlignment="1">
      <alignment horizontal="center"/>
    </xf>
    <xf numFmtId="0" fontId="40" fillId="0" borderId="12" xfId="9" applyFont="1" applyBorder="1" applyAlignment="1">
      <alignment horizontal="center"/>
    </xf>
    <xf numFmtId="0" fontId="3" fillId="0" borderId="8" xfId="8" applyFont="1" applyBorder="1" applyAlignment="1">
      <alignment horizontal="center"/>
    </xf>
    <xf numFmtId="0" fontId="6" fillId="4" borderId="1" xfId="8" applyFont="1" applyFill="1" applyBorder="1" applyAlignment="1" applyProtection="1">
      <alignment horizontal="center"/>
      <protection locked="0"/>
    </xf>
    <xf numFmtId="0" fontId="6" fillId="4" borderId="2" xfId="8" applyFont="1" applyFill="1" applyBorder="1" applyAlignment="1" applyProtection="1">
      <alignment horizontal="center"/>
      <protection locked="0"/>
    </xf>
    <xf numFmtId="0" fontId="3" fillId="19" borderId="1" xfId="8" applyFont="1" applyFill="1" applyBorder="1" applyAlignment="1" applyProtection="1">
      <alignment horizontal="center" vertical="center"/>
      <protection locked="0"/>
    </xf>
    <xf numFmtId="0" fontId="3" fillId="19" borderId="2" xfId="8" applyFont="1" applyFill="1" applyBorder="1" applyAlignment="1" applyProtection="1">
      <alignment horizontal="center" vertical="center"/>
      <protection locked="0"/>
    </xf>
    <xf numFmtId="0" fontId="3" fillId="0" borderId="0" xfId="8" applyFont="1" applyAlignment="1">
      <alignment horizontal="center"/>
    </xf>
    <xf numFmtId="0" fontId="3" fillId="0" borderId="7" xfId="8" applyFont="1" applyBorder="1" applyAlignment="1">
      <alignment horizontal="center"/>
    </xf>
    <xf numFmtId="0" fontId="24" fillId="0" borderId="2" xfId="8" applyBorder="1" applyAlignment="1">
      <alignment horizontal="center"/>
    </xf>
    <xf numFmtId="0" fontId="3" fillId="0" borderId="0" xfId="8" applyFont="1" applyAlignment="1">
      <alignment horizontal="center" vertical="center"/>
    </xf>
    <xf numFmtId="0" fontId="3" fillId="0" borderId="2" xfId="8" applyFont="1" applyBorder="1" applyAlignment="1">
      <alignment horizontal="center" vertical="center"/>
    </xf>
    <xf numFmtId="0" fontId="13" fillId="21" borderId="122" xfId="3" applyFont="1" applyFill="1" applyBorder="1" applyAlignment="1">
      <alignment horizontal="center"/>
    </xf>
    <xf numFmtId="0" fontId="13" fillId="21" borderId="8" xfId="3" applyFont="1" applyFill="1" applyBorder="1" applyAlignment="1">
      <alignment horizontal="center"/>
    </xf>
    <xf numFmtId="0" fontId="1" fillId="27" borderId="0" xfId="3" applyFont="1" applyFill="1" applyAlignment="1">
      <alignment horizontal="center"/>
    </xf>
    <xf numFmtId="0" fontId="22" fillId="27" borderId="0" xfId="3" applyFont="1" applyFill="1" applyAlignment="1">
      <alignment horizontal="center"/>
    </xf>
    <xf numFmtId="0" fontId="62" fillId="6" borderId="100" xfId="9" applyFont="1" applyFill="1" applyBorder="1" applyAlignment="1">
      <alignment horizontal="center"/>
    </xf>
    <xf numFmtId="0" fontId="62" fillId="6" borderId="102" xfId="9" applyFont="1" applyFill="1" applyBorder="1" applyAlignment="1">
      <alignment horizontal="center"/>
    </xf>
    <xf numFmtId="0" fontId="38" fillId="22" borderId="6" xfId="9" applyFont="1" applyFill="1" applyBorder="1" applyAlignment="1">
      <alignment horizontal="center" vertical="center"/>
    </xf>
    <xf numFmtId="0" fontId="38" fillId="22" borderId="1" xfId="9" applyFont="1" applyFill="1" applyBorder="1" applyAlignment="1">
      <alignment horizontal="center" vertical="center"/>
    </xf>
    <xf numFmtId="0" fontId="38" fillId="22" borderId="3" xfId="9" applyFont="1" applyFill="1" applyBorder="1" applyAlignment="1">
      <alignment horizontal="center" vertical="center"/>
    </xf>
    <xf numFmtId="44" fontId="13" fillId="19" borderId="125" xfId="9" applyNumberFormat="1" applyFont="1" applyFill="1" applyBorder="1" applyAlignment="1" applyProtection="1">
      <alignment horizontal="center" vertical="center"/>
      <protection locked="0"/>
    </xf>
    <xf numFmtId="44" fontId="13" fillId="19" borderId="126" xfId="9" applyNumberFormat="1" applyFont="1" applyFill="1" applyBorder="1" applyAlignment="1" applyProtection="1">
      <alignment horizontal="center" vertical="center"/>
      <protection locked="0"/>
    </xf>
    <xf numFmtId="44" fontId="13" fillId="19" borderId="128" xfId="9" applyNumberFormat="1" applyFont="1" applyFill="1" applyBorder="1" applyAlignment="1" applyProtection="1">
      <alignment horizontal="center" vertical="center"/>
      <protection locked="0"/>
    </xf>
    <xf numFmtId="0" fontId="40" fillId="0" borderId="100" xfId="9" applyFont="1" applyBorder="1" applyAlignment="1">
      <alignment horizontal="center"/>
    </xf>
    <xf numFmtId="0" fontId="40" fillId="0" borderId="102" xfId="9" applyFont="1" applyBorder="1" applyAlignment="1">
      <alignment horizontal="center"/>
    </xf>
    <xf numFmtId="0" fontId="2" fillId="0" borderId="3" xfId="9" applyFont="1" applyBorder="1" applyAlignment="1">
      <alignment horizontal="center"/>
    </xf>
    <xf numFmtId="0" fontId="2" fillId="0" borderId="4" xfId="9" applyFont="1" applyBorder="1" applyAlignment="1">
      <alignment horizontal="center"/>
    </xf>
    <xf numFmtId="0" fontId="2" fillId="0" borderId="6" xfId="9" applyFont="1" applyBorder="1" applyAlignment="1">
      <alignment horizontal="center"/>
    </xf>
    <xf numFmtId="0" fontId="2" fillId="0" borderId="7" xfId="9" applyFont="1" applyBorder="1" applyAlignment="1">
      <alignment horizontal="center"/>
    </xf>
    <xf numFmtId="0" fontId="40" fillId="0" borderId="45" xfId="9" applyFont="1" applyBorder="1" applyAlignment="1">
      <alignment horizontal="center"/>
    </xf>
    <xf numFmtId="0" fontId="40" fillId="0" borderId="46" xfId="9" applyFont="1" applyBorder="1" applyAlignment="1">
      <alignment horizontal="center"/>
    </xf>
    <xf numFmtId="0" fontId="40" fillId="20" borderId="14" xfId="0" applyFont="1" applyFill="1" applyBorder="1" applyAlignment="1">
      <alignment horizontal="center"/>
    </xf>
    <xf numFmtId="0" fontId="40" fillId="20" borderId="46" xfId="0" applyFont="1" applyFill="1" applyBorder="1" applyAlignment="1">
      <alignment horizontal="center"/>
    </xf>
    <xf numFmtId="0" fontId="40" fillId="20" borderId="45" xfId="0" applyFont="1" applyFill="1" applyBorder="1" applyAlignment="1">
      <alignment horizontal="center"/>
    </xf>
  </cellXfs>
  <cellStyles count="176">
    <cellStyle name="Lien hypertexte 2" xfId="50" xr:uid="{970775C1-7CFF-4ED1-8B43-084B48D30FF8}"/>
    <cellStyle name="Milliers 2" xfId="6" xr:uid="{00000000-0005-0000-0000-000001000000}"/>
    <cellStyle name="Milliers 2 2" xfId="18" xr:uid="{0AA99882-C8BF-4F14-AE8F-126A28A7F551}"/>
    <cellStyle name="Milliers 2 2 2" xfId="60" xr:uid="{4CB755CF-E8E4-4CF0-AEB4-0E07394D5DD4}"/>
    <cellStyle name="Milliers 2 2 2 2" xfId="154" xr:uid="{A7FB7BDE-38FC-47AE-B95D-9364E24C1399}"/>
    <cellStyle name="Milliers 2 2 3" xfId="114" xr:uid="{78318D31-4E3D-4C12-BFCF-D008D4EC5F7B}"/>
    <cellStyle name="Milliers 2 2 4" xfId="94" xr:uid="{FFDB4E19-7DA1-4DDA-9C19-F8698962528D}"/>
    <cellStyle name="Milliers 2 3" xfId="28" xr:uid="{9240E0EE-A1D5-4917-A038-4C28636C64F5}"/>
    <cellStyle name="Milliers 2 3 2" xfId="70" xr:uid="{798AAD47-5DE6-4106-BC92-9F7C6205B2CE}"/>
    <cellStyle name="Milliers 2 3 2 2" xfId="164" xr:uid="{2915959E-5D11-4C81-A65D-748F52BD4295}"/>
    <cellStyle name="Milliers 2 3 3" xfId="124" xr:uid="{F90E7EC6-5067-4CA3-B442-985BA49E124E}"/>
    <cellStyle name="Milliers 2 4" xfId="38" xr:uid="{4A171836-CC7A-4AC0-B64E-0D922B92AD70}"/>
    <cellStyle name="Milliers 2 4 2" xfId="77" xr:uid="{27065C2A-D320-4909-8918-55DEC0B2CFA9}"/>
    <cellStyle name="Milliers 2 4 2 2" xfId="171" xr:uid="{110B5E28-FD65-4410-97E6-615D42A79ECC}"/>
    <cellStyle name="Milliers 2 4 3" xfId="134" xr:uid="{D54D1D49-561C-465E-9568-EC9219AEC625}"/>
    <cellStyle name="Milliers 2 5" xfId="49" xr:uid="{B5A12E6B-1E32-4F36-80CC-ACC4EAC08391}"/>
    <cellStyle name="Milliers 2 5 2" xfId="79" xr:uid="{5DCF1F6D-6B90-440C-B8D0-2D82AAA90B9F}"/>
    <cellStyle name="Milliers 2 5 2 2" xfId="173" xr:uid="{51DCDE3A-8EB3-485F-BE3D-C22C450A7F18}"/>
    <cellStyle name="Milliers 2 5 3" xfId="144" xr:uid="{B345BE41-83FA-493E-B57D-5495D6D4097E}"/>
    <cellStyle name="Milliers 2 6" xfId="104" xr:uid="{3201F0E2-7475-4BE5-8C7D-D22DA421FDB5}"/>
    <cellStyle name="Milliers 2 6 2" xfId="174" xr:uid="{8331AA08-6DD3-4A64-B10C-BDD71E008CD1}"/>
    <cellStyle name="Milliers 2 7" xfId="84" xr:uid="{789A917A-1819-4A8C-911C-CB2D632ED6BC}"/>
    <cellStyle name="Monétaire" xfId="7" builtinId="4"/>
    <cellStyle name="Monétaire 2" xfId="5" xr:uid="{00000000-0005-0000-0000-000003000000}"/>
    <cellStyle name="Monétaire 2 2" xfId="17" xr:uid="{1B6EE418-ABC8-4583-9638-21E7FFF2A739}"/>
    <cellStyle name="Monétaire 2 2 2" xfId="59" xr:uid="{9266D0DE-C501-4297-927D-D84324DC6AF7}"/>
    <cellStyle name="Monétaire 2 2 2 2" xfId="153" xr:uid="{EA75A5D1-5965-4AB1-82AE-7ED316A92C4A}"/>
    <cellStyle name="Monétaire 2 2 3" xfId="113" xr:uid="{7136D924-21F6-4B00-AB30-0F7AB25E866C}"/>
    <cellStyle name="Monétaire 2 2 4" xfId="93" xr:uid="{EF1E00E8-D82A-474D-A8CB-0CE23B34C98B}"/>
    <cellStyle name="Monétaire 2 3" xfId="27" xr:uid="{DADE728B-85CC-402E-99B1-46AC086AAAB2}"/>
    <cellStyle name="Monétaire 2 3 2" xfId="69" xr:uid="{16BAE0D6-7452-4B90-8125-13F28B52EC4B}"/>
    <cellStyle name="Monétaire 2 3 2 2" xfId="163" xr:uid="{8CC16D33-B112-4D76-B68A-87E638C28B15}"/>
    <cellStyle name="Monétaire 2 3 3" xfId="123" xr:uid="{8AE19D4B-0F7B-4FD7-B3B0-5B231C46A1E5}"/>
    <cellStyle name="Monétaire 2 4" xfId="37" xr:uid="{8C1F09FB-4FAE-410D-B9F8-01D6EFB04AA0}"/>
    <cellStyle name="Monétaire 2 4 2" xfId="76" xr:uid="{90F66DD4-04F2-4788-BADC-CFC1A35C9033}"/>
    <cellStyle name="Monétaire 2 4 2 2" xfId="170" xr:uid="{564F74E6-62AB-4BC8-8504-CF90A28DFBE3}"/>
    <cellStyle name="Monétaire 2 4 3" xfId="133" xr:uid="{696FC897-DEFB-4DA9-917B-9B541A14E99F}"/>
    <cellStyle name="Monétaire 2 5" xfId="48" xr:uid="{AB8407CE-02FB-432A-9C23-CA86995F0B64}"/>
    <cellStyle name="Monétaire 2 5 2" xfId="78" xr:uid="{6A477C55-B1EB-4EB9-B52C-45A52BAE7E7E}"/>
    <cellStyle name="Monétaire 2 5 2 2" xfId="172" xr:uid="{09D245CC-9C8F-427C-950B-BAD63A2DF94D}"/>
    <cellStyle name="Monétaire 2 5 3" xfId="143" xr:uid="{52DD1C78-0858-4C36-9A4F-767E63B1E113}"/>
    <cellStyle name="Monétaire 2 6" xfId="103" xr:uid="{D6313CC5-8195-4E19-86A4-1D4FD83BBB23}"/>
    <cellStyle name="Monétaire 2 6 2" xfId="175" xr:uid="{3528562C-6F87-4A37-90C9-901739A892CC}"/>
    <cellStyle name="Monétaire 2 7" xfId="83" xr:uid="{6F8F8209-9DA1-441C-84FB-A0473D9EF642}"/>
    <cellStyle name="Monétaire 3" xfId="10" xr:uid="{8D6C4459-1326-48B0-B5CE-6640B872F786}"/>
    <cellStyle name="Monétaire 3 2" xfId="22" xr:uid="{55AA909D-7571-4BFF-913B-162DDEC74835}"/>
    <cellStyle name="Monétaire 3 2 2" xfId="64" xr:uid="{4F16510E-572D-4A6C-83EB-2179F949CC70}"/>
    <cellStyle name="Monétaire 3 2 2 2" xfId="158" xr:uid="{40F3A4CA-808D-4F77-B0D8-9E586446C55D}"/>
    <cellStyle name="Monétaire 3 2 3" xfId="118" xr:uid="{2C625605-9330-4E96-91C0-005B0ECF8816}"/>
    <cellStyle name="Monétaire 3 2 4" xfId="98" xr:uid="{4D2CE0A8-EA83-4A5A-ACE2-36D574C3A890}"/>
    <cellStyle name="Monétaire 3 3" xfId="32" xr:uid="{1414B6F1-D0FA-4B8C-AB1D-37F3011D170B}"/>
    <cellStyle name="Monétaire 3 3 2" xfId="74" xr:uid="{4B6CBD9E-3861-4A4A-B504-EF0B0866D931}"/>
    <cellStyle name="Monétaire 3 3 2 2" xfId="168" xr:uid="{79484413-70BE-4B3F-A361-E5D398C2C007}"/>
    <cellStyle name="Monétaire 3 3 3" xfId="128" xr:uid="{FF5853A1-24BE-44F8-8BFD-157D7C115F2B}"/>
    <cellStyle name="Monétaire 3 4" xfId="42" xr:uid="{CB86EC34-70DB-49D7-A8A3-EA6C5BD2E118}"/>
    <cellStyle name="Monétaire 3 4 2" xfId="138" xr:uid="{B7E3321F-1B85-4EF0-AE05-F91855127022}"/>
    <cellStyle name="Monétaire 3 5" xfId="54" xr:uid="{AE729ADA-EF3E-4FD5-AD8E-18745D0E5E7E}"/>
    <cellStyle name="Monétaire 3 5 2" xfId="148" xr:uid="{A1B44C6A-ABAB-41FF-9505-BD3592345BFE}"/>
    <cellStyle name="Monétaire 3 6" xfId="108" xr:uid="{9B0D7530-E458-4F74-B0AE-63CA90720AC4}"/>
    <cellStyle name="Monétaire 3 7" xfId="88" xr:uid="{9FF14F62-9A56-43EB-95DA-893AE5485062}"/>
    <cellStyle name="Monétaire 4" xfId="19" xr:uid="{BA6C9A25-04F6-4CD9-83EA-552E0A739864}"/>
    <cellStyle name="Monétaire 4 2" xfId="61" xr:uid="{FE3757DC-BD20-443C-A0BF-139E78612BD1}"/>
    <cellStyle name="Monétaire 4 2 2" xfId="155" xr:uid="{C40F102A-2301-4548-9B7B-85B8BF98A76D}"/>
    <cellStyle name="Monétaire 4 3" xfId="115" xr:uid="{4F7F0C23-C8EF-4D01-BFCC-E8933948BECC}"/>
    <cellStyle name="Monétaire 4 4" xfId="95" xr:uid="{EFFD5267-8158-4041-8D13-17025C8112AD}"/>
    <cellStyle name="Monétaire 5" xfId="29" xr:uid="{96D3FFA8-A128-45CC-946F-1A8E884DCD3B}"/>
    <cellStyle name="Monétaire 5 2" xfId="71" xr:uid="{06ACB95D-637D-4E3E-9A0E-7A965D39AA30}"/>
    <cellStyle name="Monétaire 5 2 2" xfId="165" xr:uid="{DA46C41C-8AF6-48EA-9B82-82828E14234E}"/>
    <cellStyle name="Monétaire 5 3" xfId="125" xr:uid="{28123F20-0419-40AD-89DE-682A6121CAA6}"/>
    <cellStyle name="Monétaire 6" xfId="39" xr:uid="{6B756115-4C11-48C1-89D8-D93C1F1A558B}"/>
    <cellStyle name="Monétaire 6 2" xfId="135" xr:uid="{A3AD7DBB-F549-49B3-BF46-4BAE3DA9F235}"/>
    <cellStyle name="Monétaire 7" xfId="51" xr:uid="{16897E47-1686-4A7E-B2FF-DB60F1EF53F2}"/>
    <cellStyle name="Monétaire 7 2" xfId="145" xr:uid="{A56A29C5-7476-4E6D-BD47-8B9D9A9D2FBB}"/>
    <cellStyle name="Monétaire 8" xfId="105" xr:uid="{534E45D4-328E-429D-AFDB-1B889AA30351}"/>
    <cellStyle name="Monétaire 9" xfId="85" xr:uid="{8E15EAD2-E912-4ACA-AF08-E8ABCD2AA174}"/>
    <cellStyle name="Normal" xfId="0" builtinId="0"/>
    <cellStyle name="Normal 2" xfId="1" xr:uid="{00000000-0005-0000-0000-000005000000}"/>
    <cellStyle name="Normal 2 2" xfId="13" xr:uid="{91AEBDDC-5D25-4929-AC6D-A3BEEECA501B}"/>
    <cellStyle name="Normal 2 2 2" xfId="56" xr:uid="{6B2F74AE-EA03-4B40-ACFD-61604A3B8773}"/>
    <cellStyle name="Normal 2 2 2 2" xfId="150" xr:uid="{3378D056-37BF-482E-812B-552E2B230084}"/>
    <cellStyle name="Normal 2 2 3" xfId="110" xr:uid="{DDA338DD-618F-40CE-9196-EF57AD1366C9}"/>
    <cellStyle name="Normal 2 2 4" xfId="90" xr:uid="{D760C3E4-E571-491C-B10D-DD1D41C714BA}"/>
    <cellStyle name="Normal 2 3" xfId="24" xr:uid="{C4A79437-500D-4499-A6DB-F7D949A3424E}"/>
    <cellStyle name="Normal 2 3 2" xfId="66" xr:uid="{6788555D-7436-451F-BE58-EDD2D920E6A6}"/>
    <cellStyle name="Normal 2 3 2 2" xfId="160" xr:uid="{16B5107A-937B-4B5E-8CB4-130F3F9C1F14}"/>
    <cellStyle name="Normal 2 3 3" xfId="120" xr:uid="{4FDD45BC-78F5-4D6B-99CB-3C67C7A13E16}"/>
    <cellStyle name="Normal 2 4" xfId="34" xr:uid="{12DC9259-AA8C-4EAE-8D2D-D77CC9141B38}"/>
    <cellStyle name="Normal 2 4 2" xfId="130" xr:uid="{C9F44463-D5FC-4538-B594-201E6C800E2B}"/>
    <cellStyle name="Normal 2 5" xfId="44" xr:uid="{0C324CCE-63DA-4E56-9B18-4F1859B6C239}"/>
    <cellStyle name="Normal 2 5 2" xfId="140" xr:uid="{DACDC29D-2CFE-4A73-9DAA-D07C3331D15D}"/>
    <cellStyle name="Normal 2 6" xfId="100" xr:uid="{28B0FA44-74FB-4CAC-A011-7305FDB0EB15}"/>
    <cellStyle name="Normal 2 7" xfId="80" xr:uid="{A48CB6EF-10CA-4708-9B49-627D1FA3EB27}"/>
    <cellStyle name="Normal 3" xfId="3" xr:uid="{00000000-0005-0000-0000-000006000000}"/>
    <cellStyle name="Normal 3 2" xfId="15" xr:uid="{7EB06639-49A3-40CF-A473-3CDDC53447AC}"/>
    <cellStyle name="Normal 3 2 2" xfId="57" xr:uid="{EA05870D-86DC-4388-99E5-C0F5A3F6219B}"/>
    <cellStyle name="Normal 3 2 2 2" xfId="151" xr:uid="{019EB68D-9D17-4299-BDA4-5EE8F6131B00}"/>
    <cellStyle name="Normal 3 2 3" xfId="111" xr:uid="{A05E34F3-EBA4-43EE-BEC8-050F668474AF}"/>
    <cellStyle name="Normal 3 2 4" xfId="91" xr:uid="{8B5AE94C-D029-4CD7-A491-BC94DBA26A85}"/>
    <cellStyle name="Normal 3 3" xfId="25" xr:uid="{DE0CCB02-1B65-4E47-B686-A30F088AE7FE}"/>
    <cellStyle name="Normal 3 3 2" xfId="67" xr:uid="{C4219DC7-5A37-4884-B9B8-E81B70B53121}"/>
    <cellStyle name="Normal 3 3 2 2" xfId="161" xr:uid="{168C8D2B-4626-40F0-B236-24BCC14ECEFB}"/>
    <cellStyle name="Normal 3 3 3" xfId="121" xr:uid="{39515F54-20C6-4316-A3E9-B22C7BEC2A56}"/>
    <cellStyle name="Normal 3 4" xfId="35" xr:uid="{0152A52A-8006-4474-A15A-DA51A28B9D3C}"/>
    <cellStyle name="Normal 3 4 2" xfId="131" xr:uid="{25B25507-5C83-4F42-8298-44E7F2761D6F}"/>
    <cellStyle name="Normal 3 5" xfId="46" xr:uid="{9113EAC8-2A2E-4F6E-898B-D75C04BC501C}"/>
    <cellStyle name="Normal 3 5 2" xfId="141" xr:uid="{F7C33868-368F-4F93-A761-B8FA8037D381}"/>
    <cellStyle name="Normal 3 6" xfId="101" xr:uid="{77D4D975-513D-474D-B158-43BEFDC58D44}"/>
    <cellStyle name="Normal 3 7" xfId="81" xr:uid="{6C0417EE-E659-4849-890B-6E89AE3E854B}"/>
    <cellStyle name="Normal 4" xfId="8" xr:uid="{00000000-0005-0000-0000-000007000000}"/>
    <cellStyle name="Normal 4 2" xfId="20" xr:uid="{623254D8-DF72-4E18-9451-06D5485BBED9}"/>
    <cellStyle name="Normal 4 2 2" xfId="62" xr:uid="{06E63EC8-79D0-4AD9-A8E3-35A603D36B93}"/>
    <cellStyle name="Normal 4 2 2 2" xfId="156" xr:uid="{8E98D19B-FF39-46CC-BC01-CA9B74269128}"/>
    <cellStyle name="Normal 4 2 3" xfId="116" xr:uid="{B7E8D295-AA78-40F3-80B9-D1090C1FB3DE}"/>
    <cellStyle name="Normal 4 2 4" xfId="96" xr:uid="{08AFACDB-0F43-45C5-9517-5173C874ED20}"/>
    <cellStyle name="Normal 4 3" xfId="30" xr:uid="{64B91660-015C-4B1C-A49D-3D370D03089E}"/>
    <cellStyle name="Normal 4 3 2" xfId="72" xr:uid="{61DD47AA-A67F-421D-9AEB-C4B818DD69EE}"/>
    <cellStyle name="Normal 4 3 2 2" xfId="166" xr:uid="{C9BD006A-708D-4449-B157-7235AF03A8A8}"/>
    <cellStyle name="Normal 4 3 3" xfId="126" xr:uid="{C29A5686-0958-4CF2-AFF1-861A64DEAD41}"/>
    <cellStyle name="Normal 4 4" xfId="40" xr:uid="{771624C1-27C7-4C27-874D-1F9EDC214DA5}"/>
    <cellStyle name="Normal 4 4 2" xfId="136" xr:uid="{B5E5D123-2194-462B-AEAC-216370D57646}"/>
    <cellStyle name="Normal 4 5" xfId="52" xr:uid="{1EF8F7C4-FD4E-4E89-B6CC-740FAEAE4432}"/>
    <cellStyle name="Normal 4 5 2" xfId="146" xr:uid="{44C47DF8-66F6-4F89-9155-C12AE0DD486F}"/>
    <cellStyle name="Normal 4 6" xfId="106" xr:uid="{FE92F75C-3F9B-4CEF-9006-27245AB67270}"/>
    <cellStyle name="Normal 4 7" xfId="86" xr:uid="{DD53479A-10C5-4DDF-A2E3-DC0C6D9DB8C2}"/>
    <cellStyle name="Normal 5" xfId="9" xr:uid="{C407500D-23F4-417B-A046-103B57B22D2B}"/>
    <cellStyle name="Normal 5 2" xfId="21" xr:uid="{277206FB-D769-4C20-80AD-E97EDE7AF92B}"/>
    <cellStyle name="Normal 5 2 2" xfId="63" xr:uid="{B56A73FA-85DB-4648-96B3-FA7E85E22435}"/>
    <cellStyle name="Normal 5 2 2 2" xfId="157" xr:uid="{35A38583-C0EA-4A4D-8BBC-51AE24B6DBCC}"/>
    <cellStyle name="Normal 5 2 3" xfId="117" xr:uid="{1A89FDE7-938A-47CD-B6A1-7AA40C84680A}"/>
    <cellStyle name="Normal 5 2 4" xfId="97" xr:uid="{3DE9B774-6F71-4538-A726-28036BCC3222}"/>
    <cellStyle name="Normal 5 3" xfId="31" xr:uid="{2C98E6DB-5224-42AC-A1FF-47F17BCDDC8A}"/>
    <cellStyle name="Normal 5 3 2" xfId="73" xr:uid="{F35263DC-62E9-4D4E-A5E1-FE21DDB89347}"/>
    <cellStyle name="Normal 5 3 2 2" xfId="167" xr:uid="{824259EC-EC94-427F-8649-12A1C58BFFA9}"/>
    <cellStyle name="Normal 5 3 3" xfId="127" xr:uid="{F64A4930-99D0-49F2-B5D6-D12B49495DC1}"/>
    <cellStyle name="Normal 5 4" xfId="41" xr:uid="{A208124E-7002-44E2-99D3-8AB9BF3B1550}"/>
    <cellStyle name="Normal 5 4 2" xfId="137" xr:uid="{7AD46093-7198-4DD3-B8EA-FE29D7F77BE1}"/>
    <cellStyle name="Normal 5 5" xfId="53" xr:uid="{97EB928F-F1ED-4ADF-A618-497E9761C896}"/>
    <cellStyle name="Normal 5 5 2" xfId="147" xr:uid="{9A7BDC6A-1D69-43C5-8901-AC67AF9C0D93}"/>
    <cellStyle name="Normal 5 6" xfId="107" xr:uid="{01CB380A-16E4-40C5-A56E-D21C56A9040D}"/>
    <cellStyle name="Normal 5 7" xfId="87" xr:uid="{29DB7B58-0BF7-4054-AB04-C8C3EE199F67}"/>
    <cellStyle name="Normal 6" xfId="12" xr:uid="{B2207051-014F-4274-94B2-9E18765A2A74}"/>
    <cellStyle name="Pourcentage" xfId="2" builtinId="5"/>
    <cellStyle name="Pourcentage 2" xfId="4" xr:uid="{00000000-0005-0000-0000-000009000000}"/>
    <cellStyle name="Pourcentage 2 2" xfId="16" xr:uid="{2180A8F1-FE72-41E1-A568-3E8AF781576D}"/>
    <cellStyle name="Pourcentage 2 2 2" xfId="58" xr:uid="{AE2128A0-A892-4E09-B23F-F5B65A2B56A8}"/>
    <cellStyle name="Pourcentage 2 2 2 2" xfId="152" xr:uid="{B120831A-AF6D-4793-8DEC-088453A2EB7D}"/>
    <cellStyle name="Pourcentage 2 2 3" xfId="112" xr:uid="{F3B6AE5E-CC03-441C-B80E-75F1319986ED}"/>
    <cellStyle name="Pourcentage 2 2 4" xfId="92" xr:uid="{24F1C90E-9459-4EC8-BBE3-8A46C99DF74C}"/>
    <cellStyle name="Pourcentage 2 3" xfId="26" xr:uid="{A8B9F81A-115A-4804-99A6-F3E714D5C949}"/>
    <cellStyle name="Pourcentage 2 3 2" xfId="68" xr:uid="{0072AD94-4068-4B8D-A825-5E4ACE80BD33}"/>
    <cellStyle name="Pourcentage 2 3 2 2" xfId="162" xr:uid="{D5D2A204-E87B-4A51-8C4B-0CC67FB15C85}"/>
    <cellStyle name="Pourcentage 2 3 3" xfId="122" xr:uid="{92CB7AD5-FEF9-4331-BC83-8CF6D5649CB2}"/>
    <cellStyle name="Pourcentage 2 4" xfId="36" xr:uid="{C4EE4E20-E341-48C9-9598-9A0E8E8C91DA}"/>
    <cellStyle name="Pourcentage 2 4 2" xfId="132" xr:uid="{DFDDCDEE-4BCA-4683-95B9-DF2C6A74ED66}"/>
    <cellStyle name="Pourcentage 2 5" xfId="47" xr:uid="{0CEEB57F-4C9D-4331-9A42-2EE2A513A003}"/>
    <cellStyle name="Pourcentage 2 5 2" xfId="142" xr:uid="{265E5275-BF0C-4015-9B3F-5AC7878F659A}"/>
    <cellStyle name="Pourcentage 2 6" xfId="102" xr:uid="{25FC18FA-5FB4-42AF-B27A-9B2CFAA1E211}"/>
    <cellStyle name="Pourcentage 2 7" xfId="82" xr:uid="{4B5D7339-C18D-4613-8447-DE4DC762BC2D}"/>
    <cellStyle name="Pourcentage 3" xfId="11" xr:uid="{7C5BEA29-FE4F-4FA4-BF06-96B404663E95}"/>
    <cellStyle name="Pourcentage 3 2" xfId="23" xr:uid="{A81DD467-9BA6-4CE0-A436-C31F22DD9613}"/>
    <cellStyle name="Pourcentage 3 2 2" xfId="65" xr:uid="{C2E8D5E2-9818-4AE7-9213-70039ACB247B}"/>
    <cellStyle name="Pourcentage 3 2 2 2" xfId="159" xr:uid="{46005DC8-9650-4284-9035-B9859338D56F}"/>
    <cellStyle name="Pourcentage 3 2 3" xfId="119" xr:uid="{E67BED76-9937-4158-B5C0-3D88C1E80819}"/>
    <cellStyle name="Pourcentage 3 2 4" xfId="99" xr:uid="{E0399A28-A862-425F-856C-842A0A8D542F}"/>
    <cellStyle name="Pourcentage 3 3" xfId="33" xr:uid="{C7536581-2093-4E3D-9342-4A585C5078AE}"/>
    <cellStyle name="Pourcentage 3 3 2" xfId="75" xr:uid="{AA350C02-1A3D-4978-8831-E83A1C0C3953}"/>
    <cellStyle name="Pourcentage 3 3 2 2" xfId="169" xr:uid="{8C48773D-AB45-48DF-913B-8C8BA7677261}"/>
    <cellStyle name="Pourcentage 3 3 3" xfId="129" xr:uid="{142FC263-D0DE-425C-8CC7-F14CA47361B5}"/>
    <cellStyle name="Pourcentage 3 4" xfId="43" xr:uid="{C9C6BF54-8564-42F2-B01B-B05A5417A778}"/>
    <cellStyle name="Pourcentage 3 4 2" xfId="139" xr:uid="{3E6A2944-C568-4E29-85EB-ED70D66C3C81}"/>
    <cellStyle name="Pourcentage 3 5" xfId="55" xr:uid="{7DA26173-A97C-4FA5-92DD-B4F76BC4CF2E}"/>
    <cellStyle name="Pourcentage 3 5 2" xfId="149" xr:uid="{392E664C-BF61-4F28-B85A-3E7E5BE2B27C}"/>
    <cellStyle name="Pourcentage 3 6" xfId="109" xr:uid="{5E5DE78F-D5C5-4C7B-80CB-0BF00CF78972}"/>
    <cellStyle name="Pourcentage 3 7" xfId="89" xr:uid="{A38C0BBB-4FFB-4064-8D17-3847C323CCEB}"/>
    <cellStyle name="Pourcentage 4" xfId="14" xr:uid="{8DEA69A4-D95E-4433-A6FD-36466C4C5FA7}"/>
    <cellStyle name="Pourcentage 5" xfId="45" xr:uid="{FEBC0F7C-71CC-4491-8EB1-2A100DC3D070}"/>
  </cellStyles>
  <dxfs count="0"/>
  <tableStyles count="0" defaultTableStyle="TableStyleMedium9" defaultPivotStyle="PivotStyleLight16"/>
  <colors>
    <mruColors>
      <color rgb="FF4DDE26"/>
      <color rgb="FFFFFF00"/>
      <color rgb="FFE4EDF8"/>
      <color rgb="FFFFFFCC"/>
      <color rgb="FF61D6FF"/>
      <color rgb="FF008AF2"/>
      <color rgb="FF159BFF"/>
      <color rgb="FF2B6D85"/>
      <color rgb="FFF8AB6C"/>
      <color rgb="FF0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817245</xdr:colOff>
      <xdr:row>0</xdr:row>
      <xdr:rowOff>0</xdr:rowOff>
    </xdr:from>
    <xdr:to>
      <xdr:col>6</xdr:col>
      <xdr:colOff>459105</xdr:colOff>
      <xdr:row>1</xdr:row>
      <xdr:rowOff>0</xdr:rowOff>
    </xdr:to>
    <xdr:pic>
      <xdr:nvPicPr>
        <xdr:cNvPr id="2" name="Image 1" descr="CalculMensualité.jpg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474595" y="0"/>
          <a:ext cx="2670810" cy="65341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A1:N82"/>
  <sheetViews>
    <sheetView zoomScaleNormal="100" workbookViewId="0">
      <selection activeCell="B56" sqref="B56"/>
    </sheetView>
  </sheetViews>
  <sheetFormatPr baseColWidth="10" defaultColWidth="11.42578125" defaultRowHeight="15" x14ac:dyDescent="0.25"/>
  <cols>
    <col min="1" max="1" width="34.140625" style="11" bestFit="1" customWidth="1"/>
    <col min="2" max="2" width="14.7109375" style="11" customWidth="1"/>
    <col min="3" max="3" width="8.7109375" style="11" customWidth="1"/>
    <col min="4" max="4" width="14.7109375" style="11" customWidth="1"/>
    <col min="5" max="5" width="12.7109375" style="11" customWidth="1"/>
    <col min="6" max="6" width="3.7109375" style="11" customWidth="1"/>
    <col min="7" max="8" width="18.7109375" style="11" customWidth="1"/>
    <col min="9" max="10" width="12" style="11" bestFit="1" customWidth="1"/>
    <col min="11" max="16384" width="11.42578125" style="11"/>
  </cols>
  <sheetData>
    <row r="1" spans="1:12" ht="18.75" x14ac:dyDescent="0.3">
      <c r="A1" s="9" t="s">
        <v>34</v>
      </c>
    </row>
    <row r="2" spans="1:12" x14ac:dyDescent="0.25">
      <c r="E2" s="55"/>
      <c r="G2" s="656" t="s">
        <v>212</v>
      </c>
      <c r="H2" s="657"/>
    </row>
    <row r="3" spans="1:12" x14ac:dyDescent="0.25">
      <c r="A3" s="56" t="s">
        <v>207</v>
      </c>
      <c r="D3" s="264">
        <v>7500</v>
      </c>
      <c r="G3" s="53" t="s">
        <v>282</v>
      </c>
      <c r="H3" s="54"/>
    </row>
    <row r="4" spans="1:12" x14ac:dyDescent="0.25">
      <c r="A4" s="11" t="s">
        <v>33</v>
      </c>
      <c r="D4" s="426">
        <v>5</v>
      </c>
      <c r="G4" s="53">
        <f>NbItems*Ctrl_Qual</f>
        <v>112.5</v>
      </c>
      <c r="H4" s="54" t="s">
        <v>314</v>
      </c>
    </row>
    <row r="5" spans="1:12" x14ac:dyDescent="0.25">
      <c r="D5" s="57"/>
      <c r="G5" s="53"/>
      <c r="H5" s="54"/>
    </row>
    <row r="6" spans="1:12" x14ac:dyDescent="0.25">
      <c r="A6" s="11" t="s">
        <v>146</v>
      </c>
      <c r="D6" s="425">
        <v>5</v>
      </c>
      <c r="G6" s="47"/>
      <c r="H6" s="48"/>
    </row>
    <row r="7" spans="1:12" x14ac:dyDescent="0.25">
      <c r="A7" s="56" t="s">
        <v>147</v>
      </c>
      <c r="D7" s="13">
        <v>8</v>
      </c>
      <c r="G7" s="47"/>
      <c r="H7" s="48"/>
    </row>
    <row r="8" spans="1:12" x14ac:dyDescent="0.25">
      <c r="A8" s="11" t="s">
        <v>32</v>
      </c>
      <c r="C8" s="58"/>
      <c r="D8" s="13">
        <v>10</v>
      </c>
      <c r="G8" s="47"/>
      <c r="H8" s="48"/>
    </row>
    <row r="9" spans="1:12" x14ac:dyDescent="0.25">
      <c r="A9" s="56" t="s">
        <v>203</v>
      </c>
      <c r="C9" s="59"/>
      <c r="D9" s="13">
        <f>260-Jrs_Feries-Jours_Vacances</f>
        <v>242</v>
      </c>
      <c r="G9" s="47"/>
      <c r="H9" s="48"/>
    </row>
    <row r="10" spans="1:12" x14ac:dyDescent="0.25">
      <c r="A10" s="56" t="s">
        <v>204</v>
      </c>
      <c r="C10" s="59"/>
      <c r="D10" s="13">
        <v>260</v>
      </c>
      <c r="G10" s="47"/>
      <c r="H10" s="48"/>
    </row>
    <row r="11" spans="1:12" x14ac:dyDescent="0.25">
      <c r="A11" s="56" t="s">
        <v>205</v>
      </c>
      <c r="C11" s="60"/>
      <c r="D11" s="612">
        <f>JTravPaye_an*(NbHeuresQuart-TempsRepas-TempsPauses)</f>
        <v>1694</v>
      </c>
      <c r="E11" s="613">
        <v>2057</v>
      </c>
      <c r="H11" s="48"/>
      <c r="I11" s="413" t="s">
        <v>276</v>
      </c>
    </row>
    <row r="12" spans="1:12" x14ac:dyDescent="0.25">
      <c r="A12" s="56" t="s">
        <v>206</v>
      </c>
      <c r="C12" s="60"/>
      <c r="D12" s="296">
        <f>JPaye_an*NbHeuresQuart-(JPaye_an*TempsRepas)</f>
        <v>1950</v>
      </c>
      <c r="G12" s="47"/>
      <c r="H12" s="48"/>
      <c r="I12" s="661" t="s">
        <v>335</v>
      </c>
      <c r="J12" s="661"/>
      <c r="K12" s="662" t="s">
        <v>336</v>
      </c>
      <c r="L12" s="662"/>
    </row>
    <row r="13" spans="1:12" x14ac:dyDescent="0.25">
      <c r="A13" s="56" t="s">
        <v>148</v>
      </c>
      <c r="C13" s="59"/>
      <c r="D13" s="297">
        <v>2</v>
      </c>
      <c r="G13" s="47"/>
      <c r="H13" s="48"/>
    </row>
    <row r="14" spans="1:12" x14ac:dyDescent="0.25">
      <c r="A14" s="56" t="s">
        <v>149</v>
      </c>
      <c r="C14" s="59"/>
      <c r="D14" s="297">
        <v>1</v>
      </c>
      <c r="G14" s="47">
        <f>(NbHeuresQuart*NbQuartJour_prod)-(TempsRepas+TempsPauses)*NbQuartJour_prod</f>
        <v>14</v>
      </c>
      <c r="H14" s="48" t="s">
        <v>340</v>
      </c>
    </row>
    <row r="15" spans="1:12" x14ac:dyDescent="0.25">
      <c r="A15" s="56" t="s">
        <v>150</v>
      </c>
      <c r="D15" s="297">
        <v>8.5</v>
      </c>
      <c r="G15" s="47">
        <f>(NbHeuresQuart*NbQuartJour_Assy)-(TempsRepas+TempsPauses)*NbQuartJour_Assy</f>
        <v>7</v>
      </c>
      <c r="H15" s="48" t="s">
        <v>341</v>
      </c>
    </row>
    <row r="16" spans="1:12" x14ac:dyDescent="0.25">
      <c r="A16" s="11" t="s">
        <v>131</v>
      </c>
      <c r="B16" s="11" t="s">
        <v>31</v>
      </c>
      <c r="D16" s="297">
        <v>0.5</v>
      </c>
      <c r="G16" s="47"/>
      <c r="H16" s="48"/>
    </row>
    <row r="17" spans="1:13" x14ac:dyDescent="0.25">
      <c r="B17" s="11" t="s">
        <v>30</v>
      </c>
      <c r="D17" s="298">
        <v>1</v>
      </c>
      <c r="G17" s="47"/>
      <c r="H17" s="48"/>
    </row>
    <row r="18" spans="1:13" x14ac:dyDescent="0.25">
      <c r="A18" s="56" t="s">
        <v>145</v>
      </c>
      <c r="D18" s="279">
        <v>0.97</v>
      </c>
      <c r="G18" s="47"/>
      <c r="H18" s="48"/>
    </row>
    <row r="19" spans="1:13" x14ac:dyDescent="0.25">
      <c r="A19" s="56" t="s">
        <v>144</v>
      </c>
      <c r="D19" s="279">
        <v>1.4999999999999999E-2</v>
      </c>
      <c r="F19" s="61"/>
      <c r="G19" s="47"/>
      <c r="H19" s="48"/>
    </row>
    <row r="20" spans="1:13" x14ac:dyDescent="0.25">
      <c r="D20" s="62"/>
      <c r="E20" s="63"/>
      <c r="G20" s="47"/>
      <c r="H20" s="48"/>
    </row>
    <row r="21" spans="1:13" x14ac:dyDescent="0.25">
      <c r="A21" s="64" t="s">
        <v>133</v>
      </c>
      <c r="B21" s="65" t="s">
        <v>138</v>
      </c>
      <c r="C21" s="65" t="s">
        <v>137</v>
      </c>
      <c r="D21" s="41" t="s">
        <v>139</v>
      </c>
      <c r="G21" s="47"/>
      <c r="H21" s="48"/>
    </row>
    <row r="22" spans="1:13" x14ac:dyDescent="0.25">
      <c r="A22" s="66" t="s">
        <v>98</v>
      </c>
      <c r="B22" s="361">
        <v>41</v>
      </c>
      <c r="C22" s="362">
        <v>2</v>
      </c>
      <c r="D22" s="569">
        <f>TauxHor_Contremaitre*C22*HrsPaye_an</f>
        <v>159900</v>
      </c>
      <c r="I22" s="493"/>
      <c r="J22" s="494"/>
      <c r="K22" s="495"/>
      <c r="L22" s="495"/>
      <c r="M22" s="495"/>
    </row>
    <row r="23" spans="1:13" x14ac:dyDescent="0.25">
      <c r="A23" s="67" t="s">
        <v>95</v>
      </c>
      <c r="B23" s="364">
        <v>19</v>
      </c>
      <c r="C23" s="365">
        <v>2</v>
      </c>
      <c r="D23" s="570">
        <f>TauxHor_Operateur*C23*HrsPaye_an</f>
        <v>74100</v>
      </c>
      <c r="G23" s="390" t="s">
        <v>260</v>
      </c>
      <c r="I23" s="493"/>
      <c r="J23" s="494"/>
      <c r="K23" s="495"/>
      <c r="L23" s="495"/>
      <c r="M23" s="495"/>
    </row>
    <row r="24" spans="1:13" x14ac:dyDescent="0.25">
      <c r="A24" s="56" t="s">
        <v>94</v>
      </c>
      <c r="B24" s="364">
        <v>19</v>
      </c>
      <c r="C24" s="365">
        <v>1</v>
      </c>
      <c r="D24" s="570">
        <f>TauxHor_Operateur*C24*HrsPaye_an</f>
        <v>37050</v>
      </c>
      <c r="G24" s="47"/>
      <c r="H24" s="48"/>
    </row>
    <row r="25" spans="1:13" x14ac:dyDescent="0.25">
      <c r="A25" s="56" t="s">
        <v>165</v>
      </c>
      <c r="B25" s="364">
        <v>22</v>
      </c>
      <c r="C25" s="365">
        <v>2</v>
      </c>
      <c r="D25" s="570">
        <f>TauxHor_Machiniste*C25*HrsPaye_an</f>
        <v>85800</v>
      </c>
      <c r="G25" s="390" t="s">
        <v>261</v>
      </c>
      <c r="H25" s="48"/>
    </row>
    <row r="26" spans="1:13" x14ac:dyDescent="0.25">
      <c r="A26" s="67" t="s">
        <v>96</v>
      </c>
      <c r="B26" s="364">
        <v>29</v>
      </c>
      <c r="C26" s="462">
        <v>4</v>
      </c>
      <c r="D26" s="570">
        <f>TauxHor_Tech*C26*HrsPaye_an</f>
        <v>226200</v>
      </c>
      <c r="G26" s="390" t="s">
        <v>262</v>
      </c>
      <c r="H26" s="48"/>
    </row>
    <row r="27" spans="1:13" ht="15.75" thickBot="1" x14ac:dyDescent="0.3">
      <c r="A27" s="67" t="s">
        <v>97</v>
      </c>
      <c r="B27" s="367">
        <v>29</v>
      </c>
      <c r="C27" s="463">
        <v>1</v>
      </c>
      <c r="D27" s="570">
        <f>TauxHor_Tech_Entretien*C27*HrsPaye_an</f>
        <v>56550</v>
      </c>
      <c r="G27" s="413"/>
      <c r="H27" s="48"/>
    </row>
    <row r="28" spans="1:13" ht="15.75" thickBot="1" x14ac:dyDescent="0.3">
      <c r="A28" s="67"/>
      <c r="B28" s="68"/>
      <c r="C28" s="69"/>
      <c r="D28" s="571">
        <f>SUM(D22:D27)</f>
        <v>639600</v>
      </c>
      <c r="E28" s="70"/>
      <c r="G28" s="47"/>
      <c r="H28" s="48"/>
    </row>
    <row r="29" spans="1:13" x14ac:dyDescent="0.25">
      <c r="G29" s="47"/>
      <c r="H29" s="48"/>
    </row>
    <row r="30" spans="1:13" x14ac:dyDescent="0.25">
      <c r="A30" s="64" t="s">
        <v>134</v>
      </c>
      <c r="B30" s="65" t="s">
        <v>151</v>
      </c>
      <c r="C30" s="65" t="s">
        <v>137</v>
      </c>
      <c r="D30" s="41" t="s">
        <v>139</v>
      </c>
      <c r="G30" s="47"/>
      <c r="H30" s="48"/>
    </row>
    <row r="31" spans="1:13" x14ac:dyDescent="0.25">
      <c r="A31" s="67" t="s">
        <v>68</v>
      </c>
      <c r="B31" s="361">
        <v>98000</v>
      </c>
      <c r="C31" s="362">
        <v>1</v>
      </c>
      <c r="D31" s="363">
        <f>Salaire_Dir*Nb_Dir</f>
        <v>98000</v>
      </c>
      <c r="G31" s="47"/>
      <c r="H31" s="48"/>
    </row>
    <row r="32" spans="1:13" x14ac:dyDescent="0.25">
      <c r="A32" s="67" t="s">
        <v>69</v>
      </c>
      <c r="B32" s="364">
        <v>67000</v>
      </c>
      <c r="C32" s="365">
        <v>1</v>
      </c>
      <c r="D32" s="366">
        <f>Salaire_Ach*Nb_Ach</f>
        <v>67000</v>
      </c>
      <c r="G32" s="47"/>
      <c r="H32" s="48"/>
    </row>
    <row r="33" spans="1:14" ht="15.75" thickBot="1" x14ac:dyDescent="0.3">
      <c r="A33" s="67" t="s">
        <v>70</v>
      </c>
      <c r="B33" s="367">
        <v>49000</v>
      </c>
      <c r="C33" s="368">
        <v>1</v>
      </c>
      <c r="D33" s="374">
        <f>Salaire_Adj*Nb_Adj</f>
        <v>49000</v>
      </c>
      <c r="G33" s="47"/>
      <c r="H33" s="48"/>
    </row>
    <row r="34" spans="1:14" ht="15.75" thickBot="1" x14ac:dyDescent="0.3">
      <c r="A34" s="71"/>
      <c r="B34" s="68"/>
      <c r="C34" s="69"/>
      <c r="D34" s="375">
        <f>SUM(D31:D33)</f>
        <v>214000</v>
      </c>
      <c r="E34" s="70"/>
      <c r="G34" s="47"/>
      <c r="H34" s="48"/>
    </row>
    <row r="35" spans="1:14" x14ac:dyDescent="0.25">
      <c r="G35" s="47"/>
      <c r="H35" s="48"/>
    </row>
    <row r="36" spans="1:14" x14ac:dyDescent="0.25">
      <c r="A36" s="64" t="s">
        <v>44</v>
      </c>
      <c r="D36" s="28">
        <v>0.2</v>
      </c>
      <c r="G36" s="47"/>
      <c r="H36" s="48"/>
    </row>
    <row r="37" spans="1:14" x14ac:dyDescent="0.25">
      <c r="E37" s="61"/>
      <c r="G37" s="47"/>
      <c r="H37" s="48"/>
    </row>
    <row r="38" spans="1:14" x14ac:dyDescent="0.25">
      <c r="A38" s="64" t="s">
        <v>135</v>
      </c>
      <c r="B38" s="41" t="s">
        <v>153</v>
      </c>
      <c r="C38" s="41" t="s">
        <v>137</v>
      </c>
      <c r="D38" s="41" t="s">
        <v>139</v>
      </c>
      <c r="G38" s="47"/>
      <c r="H38" s="48"/>
    </row>
    <row r="39" spans="1:14" x14ac:dyDescent="0.25">
      <c r="A39" s="56" t="s">
        <v>43</v>
      </c>
      <c r="B39" s="19">
        <v>9000</v>
      </c>
      <c r="C39" s="25">
        <v>2</v>
      </c>
      <c r="D39" s="20">
        <f>Prix_Scie*Nb_Scie</f>
        <v>18000</v>
      </c>
      <c r="G39" s="47"/>
      <c r="H39" s="48"/>
    </row>
    <row r="40" spans="1:14" x14ac:dyDescent="0.25">
      <c r="A40" s="72" t="s">
        <v>42</v>
      </c>
      <c r="B40" s="21">
        <v>31000</v>
      </c>
      <c r="C40" s="26">
        <v>1</v>
      </c>
      <c r="D40" s="22">
        <f>Prix_TourMan*Nb_TourMan</f>
        <v>31000</v>
      </c>
      <c r="G40" s="47"/>
      <c r="H40" s="48"/>
    </row>
    <row r="41" spans="1:14" x14ac:dyDescent="0.25">
      <c r="A41" s="72" t="s">
        <v>41</v>
      </c>
      <c r="B41" s="507"/>
      <c r="C41" s="508"/>
      <c r="D41" s="509"/>
      <c r="G41" s="47"/>
      <c r="H41" s="48"/>
    </row>
    <row r="42" spans="1:14" x14ac:dyDescent="0.25">
      <c r="A42" s="72" t="s">
        <v>40</v>
      </c>
      <c r="B42" s="21">
        <v>145000</v>
      </c>
      <c r="C42" s="26">
        <v>2</v>
      </c>
      <c r="D42" s="22">
        <f>Nb_TourFraiseur*Prix_TourFraiseur</f>
        <v>290000</v>
      </c>
      <c r="G42" s="47"/>
      <c r="H42" s="48"/>
    </row>
    <row r="43" spans="1:14" ht="15.75" thickBot="1" x14ac:dyDescent="0.3">
      <c r="A43" s="72" t="s">
        <v>39</v>
      </c>
      <c r="B43" s="23">
        <v>105000</v>
      </c>
      <c r="C43" s="27">
        <v>2</v>
      </c>
      <c r="D43" s="32">
        <f>Nb_FraiseuseCNC*Prix_FraiseuseCNC</f>
        <v>210000</v>
      </c>
      <c r="G43" s="47"/>
      <c r="H43" s="48"/>
    </row>
    <row r="44" spans="1:14" ht="15.75" thickBot="1" x14ac:dyDescent="0.3">
      <c r="A44" s="72"/>
      <c r="B44" s="68"/>
      <c r="C44" s="69"/>
      <c r="D44" s="375">
        <f>SUM(D39:D43)</f>
        <v>549000</v>
      </c>
      <c r="G44" s="413"/>
      <c r="H44" s="48"/>
      <c r="N44" s="424"/>
    </row>
    <row r="45" spans="1:14" x14ac:dyDescent="0.25">
      <c r="A45" s="72"/>
      <c r="B45" s="68"/>
      <c r="C45" s="69"/>
      <c r="D45" s="70"/>
      <c r="E45" s="68"/>
      <c r="H45" s="48"/>
    </row>
    <row r="46" spans="1:14" x14ac:dyDescent="0.25">
      <c r="C46" s="41" t="s">
        <v>140</v>
      </c>
      <c r="D46" s="41" t="s">
        <v>139</v>
      </c>
      <c r="G46" s="47"/>
      <c r="H46" s="48"/>
    </row>
    <row r="47" spans="1:14" x14ac:dyDescent="0.25">
      <c r="A47" s="56" t="s">
        <v>166</v>
      </c>
      <c r="C47" s="29">
        <v>0.35</v>
      </c>
      <c r="D47" s="20">
        <f>Pourc_Revente*Total_Machinerie</f>
        <v>192150</v>
      </c>
      <c r="G47" s="47"/>
      <c r="H47" s="48"/>
    </row>
    <row r="48" spans="1:14" x14ac:dyDescent="0.25">
      <c r="A48" s="56" t="s">
        <v>141</v>
      </c>
      <c r="C48" s="30">
        <v>0.3</v>
      </c>
      <c r="D48" s="22">
        <f>Total_Machinerie-CapitalFinancement</f>
        <v>164700</v>
      </c>
      <c r="G48" s="47"/>
      <c r="H48" s="48"/>
    </row>
    <row r="49" spans="1:8" x14ac:dyDescent="0.25">
      <c r="A49" s="72" t="s">
        <v>38</v>
      </c>
      <c r="C49" s="30">
        <v>0.7</v>
      </c>
      <c r="D49" s="24">
        <f>Pourc_Financement*Total_Machinerie</f>
        <v>384300</v>
      </c>
      <c r="G49" s="47"/>
      <c r="H49" s="48"/>
    </row>
    <row r="50" spans="1:8" x14ac:dyDescent="0.25">
      <c r="A50" s="56" t="s">
        <v>142</v>
      </c>
      <c r="C50" s="18">
        <v>5.8000000000000003E-2</v>
      </c>
      <c r="G50" s="47"/>
      <c r="H50" s="48"/>
    </row>
    <row r="51" spans="1:8" x14ac:dyDescent="0.25">
      <c r="G51" s="47"/>
      <c r="H51" s="48"/>
    </row>
    <row r="52" spans="1:8" x14ac:dyDescent="0.25">
      <c r="A52" s="64" t="s">
        <v>136</v>
      </c>
      <c r="G52" s="47"/>
      <c r="H52" s="48"/>
    </row>
    <row r="53" spans="1:8" x14ac:dyDescent="0.25">
      <c r="A53" s="72" t="s">
        <v>36</v>
      </c>
      <c r="D53" s="14">
        <v>10250</v>
      </c>
      <c r="G53" s="47"/>
      <c r="H53" s="48"/>
    </row>
    <row r="54" spans="1:8" x14ac:dyDescent="0.25">
      <c r="A54" s="73" t="s">
        <v>82</v>
      </c>
      <c r="D54" s="15">
        <v>7500</v>
      </c>
      <c r="G54" s="47"/>
      <c r="H54" s="48"/>
    </row>
    <row r="55" spans="1:8" x14ac:dyDescent="0.25">
      <c r="A55" s="74" t="s">
        <v>99</v>
      </c>
      <c r="D55" s="16">
        <v>6125</v>
      </c>
      <c r="G55" s="47"/>
      <c r="H55" s="48"/>
    </row>
    <row r="56" spans="1:8" x14ac:dyDescent="0.25">
      <c r="G56" s="47"/>
      <c r="H56" s="48"/>
    </row>
    <row r="57" spans="1:8" x14ac:dyDescent="0.25">
      <c r="A57" s="64" t="s">
        <v>217</v>
      </c>
      <c r="D57" s="17">
        <v>0.18</v>
      </c>
      <c r="G57" s="47"/>
      <c r="H57" s="48"/>
    </row>
    <row r="58" spans="1:8" x14ac:dyDescent="0.25">
      <c r="G58" s="47"/>
      <c r="H58" s="48"/>
    </row>
    <row r="59" spans="1:8" x14ac:dyDescent="0.25">
      <c r="A59" s="64" t="s">
        <v>143</v>
      </c>
      <c r="G59" s="47"/>
      <c r="H59" s="48"/>
    </row>
    <row r="60" spans="1:8" x14ac:dyDescent="0.25">
      <c r="A60" s="72" t="s">
        <v>52</v>
      </c>
      <c r="D60" s="35">
        <v>36000</v>
      </c>
      <c r="G60" s="47"/>
      <c r="H60" s="48"/>
    </row>
    <row r="61" spans="1:8" x14ac:dyDescent="0.25">
      <c r="A61" s="72" t="s">
        <v>51</v>
      </c>
      <c r="D61" s="36">
        <v>4000</v>
      </c>
      <c r="G61" s="47"/>
      <c r="H61" s="48"/>
    </row>
    <row r="62" spans="1:8" x14ac:dyDescent="0.25">
      <c r="A62" s="72" t="s">
        <v>48</v>
      </c>
      <c r="D62" s="36">
        <v>6400</v>
      </c>
      <c r="G62" s="47"/>
      <c r="H62" s="48"/>
    </row>
    <row r="63" spans="1:8" x14ac:dyDescent="0.25">
      <c r="A63" s="56" t="s">
        <v>103</v>
      </c>
      <c r="D63" s="36">
        <v>3600</v>
      </c>
      <c r="G63" s="47"/>
      <c r="H63" s="48"/>
    </row>
    <row r="64" spans="1:8" x14ac:dyDescent="0.25">
      <c r="A64" s="72" t="s">
        <v>47</v>
      </c>
      <c r="D64" s="36">
        <v>13000</v>
      </c>
      <c r="G64" s="47"/>
      <c r="H64" s="48"/>
    </row>
    <row r="65" spans="1:12" x14ac:dyDescent="0.25">
      <c r="A65" s="75" t="s">
        <v>91</v>
      </c>
      <c r="D65" s="36">
        <v>2000</v>
      </c>
      <c r="G65" s="47"/>
      <c r="H65" s="48"/>
    </row>
    <row r="66" spans="1:12" ht="15.75" thickBot="1" x14ac:dyDescent="0.3">
      <c r="A66" s="72" t="s">
        <v>46</v>
      </c>
      <c r="D66" s="376">
        <v>5000</v>
      </c>
      <c r="G66" s="47"/>
      <c r="H66" s="48"/>
    </row>
    <row r="67" spans="1:12" ht="15.75" thickBot="1" x14ac:dyDescent="0.3">
      <c r="A67" s="72"/>
      <c r="D67" s="375">
        <f>SUM(D60:D66)</f>
        <v>70000</v>
      </c>
      <c r="E67" s="76"/>
      <c r="G67" s="47"/>
      <c r="H67" s="48"/>
    </row>
    <row r="68" spans="1:12" x14ac:dyDescent="0.25">
      <c r="G68" s="47"/>
      <c r="H68" s="48"/>
    </row>
    <row r="69" spans="1:12" x14ac:dyDescent="0.25">
      <c r="A69" s="64" t="s">
        <v>152</v>
      </c>
      <c r="B69" s="65" t="s">
        <v>153</v>
      </c>
      <c r="C69" s="65" t="s">
        <v>137</v>
      </c>
      <c r="D69" s="77" t="s">
        <v>139</v>
      </c>
      <c r="E69" s="78" t="s">
        <v>208</v>
      </c>
      <c r="F69" s="72"/>
      <c r="G69" s="413" t="s">
        <v>320</v>
      </c>
      <c r="H69" s="48"/>
      <c r="I69" s="72"/>
      <c r="J69" s="72"/>
    </row>
    <row r="70" spans="1:12" x14ac:dyDescent="0.25">
      <c r="A70" s="79" t="s">
        <v>62</v>
      </c>
      <c r="B70" s="19">
        <v>1.03</v>
      </c>
      <c r="C70" s="416">
        <f>1*NbItems</f>
        <v>7500</v>
      </c>
      <c r="D70" s="20">
        <f t="shared" ref="D70:D76" si="0">B70*C70</f>
        <v>7725</v>
      </c>
      <c r="E70" s="658">
        <f>SUM(D70:D73)</f>
        <v>25425</v>
      </c>
      <c r="G70" s="413" t="s">
        <v>278</v>
      </c>
      <c r="H70" s="48"/>
      <c r="I70" s="72"/>
      <c r="J70" s="72"/>
    </row>
    <row r="71" spans="1:12" s="81" customFormat="1" x14ac:dyDescent="0.2">
      <c r="A71" s="80" t="s">
        <v>63</v>
      </c>
      <c r="B71" s="21">
        <v>0.23</v>
      </c>
      <c r="C71" s="416">
        <f>1*NbItems</f>
        <v>7500</v>
      </c>
      <c r="D71" s="22">
        <f t="shared" si="0"/>
        <v>1725</v>
      </c>
      <c r="E71" s="659"/>
      <c r="G71" s="49"/>
      <c r="H71" s="50"/>
      <c r="I71" s="82"/>
      <c r="J71" s="82"/>
    </row>
    <row r="72" spans="1:12" s="81" customFormat="1" x14ac:dyDescent="0.2">
      <c r="A72" s="80" t="s">
        <v>64</v>
      </c>
      <c r="B72" s="21">
        <v>1.96</v>
      </c>
      <c r="C72" s="416">
        <f>1*NbItems</f>
        <v>7500</v>
      </c>
      <c r="D72" s="22">
        <f t="shared" si="0"/>
        <v>14700</v>
      </c>
      <c r="E72" s="659"/>
      <c r="G72" s="49"/>
      <c r="H72" s="50"/>
      <c r="I72" s="82"/>
      <c r="J72" s="82"/>
    </row>
    <row r="73" spans="1:12" s="81" customFormat="1" x14ac:dyDescent="0.2">
      <c r="A73" s="83" t="s">
        <v>65</v>
      </c>
      <c r="B73" s="31">
        <v>0.17</v>
      </c>
      <c r="C73" s="416">
        <f>1*NbItems</f>
        <v>7500</v>
      </c>
      <c r="D73" s="32">
        <f t="shared" si="0"/>
        <v>1275</v>
      </c>
      <c r="E73" s="660"/>
      <c r="G73" s="49"/>
      <c r="H73" s="50"/>
      <c r="I73" s="82"/>
      <c r="J73" s="82"/>
    </row>
    <row r="74" spans="1:12" s="81" customFormat="1" x14ac:dyDescent="0.2">
      <c r="A74" s="80" t="s">
        <v>66</v>
      </c>
      <c r="B74" s="19">
        <v>0.92</v>
      </c>
      <c r="C74" s="416">
        <f>1*(NbItems-$G$4)</f>
        <v>7387.5</v>
      </c>
      <c r="D74" s="20">
        <f t="shared" si="0"/>
        <v>6796.5</v>
      </c>
      <c r="E74" s="658">
        <f>SUM(D74:D76)</f>
        <v>42552</v>
      </c>
      <c r="G74" s="415" t="s">
        <v>279</v>
      </c>
      <c r="H74" s="50"/>
      <c r="I74" s="82"/>
      <c r="J74" s="82"/>
    </row>
    <row r="75" spans="1:12" s="81" customFormat="1" x14ac:dyDescent="0.2">
      <c r="A75" s="80" t="s">
        <v>67</v>
      </c>
      <c r="B75" s="33">
        <v>3.11</v>
      </c>
      <c r="C75" s="416">
        <f>1*(NbItems-$G$4)</f>
        <v>7387.5</v>
      </c>
      <c r="D75" s="34">
        <f t="shared" si="0"/>
        <v>22975.125</v>
      </c>
      <c r="E75" s="659"/>
      <c r="G75" s="49"/>
      <c r="H75" s="50"/>
      <c r="I75" s="82"/>
      <c r="J75" s="82"/>
    </row>
    <row r="76" spans="1:12" s="81" customFormat="1" x14ac:dyDescent="0.2">
      <c r="A76" s="84" t="s">
        <v>37</v>
      </c>
      <c r="B76" s="23">
        <v>1.73</v>
      </c>
      <c r="C76" s="416">
        <f>1*(NbItems-$G$4)</f>
        <v>7387.5</v>
      </c>
      <c r="D76" s="24">
        <f t="shared" si="0"/>
        <v>12780.375</v>
      </c>
      <c r="E76" s="660"/>
      <c r="G76" s="49"/>
      <c r="H76" s="50"/>
      <c r="I76" s="82"/>
      <c r="J76" s="82"/>
    </row>
    <row r="77" spans="1:12" ht="15.75" thickBot="1" x14ac:dyDescent="0.3">
      <c r="A77" s="72"/>
      <c r="B77" s="72"/>
      <c r="C77" s="85"/>
      <c r="D77" s="43">
        <f>SUM(D70:D76)</f>
        <v>67977</v>
      </c>
      <c r="E77" s="43"/>
      <c r="G77" s="51"/>
      <c r="H77" s="52"/>
      <c r="I77" s="72"/>
      <c r="J77" s="72"/>
    </row>
    <row r="78" spans="1:12" ht="15.75" thickTop="1" x14ac:dyDescent="0.25"/>
    <row r="80" spans="1:12" x14ac:dyDescent="0.25">
      <c r="A80" s="614"/>
      <c r="B80" s="615"/>
      <c r="C80" s="615"/>
      <c r="D80" s="616" t="s">
        <v>337</v>
      </c>
      <c r="E80" s="615"/>
      <c r="F80" s="615"/>
      <c r="G80" s="615"/>
      <c r="H80" s="615"/>
      <c r="I80" s="615"/>
      <c r="J80" s="615"/>
      <c r="K80" s="615"/>
      <c r="L80" s="64"/>
    </row>
    <row r="81" spans="2:12" x14ac:dyDescent="0.25">
      <c r="B81" s="615"/>
      <c r="C81" s="617" t="s">
        <v>338</v>
      </c>
      <c r="D81" s="615"/>
      <c r="E81" s="615"/>
      <c r="F81" s="615"/>
      <c r="G81" s="615"/>
      <c r="H81" s="615"/>
      <c r="I81" s="615"/>
      <c r="J81" s="615"/>
      <c r="K81" s="615"/>
      <c r="L81" s="64"/>
    </row>
    <row r="82" spans="2:12" x14ac:dyDescent="0.25">
      <c r="B82" s="615"/>
      <c r="C82" s="617" t="s">
        <v>339</v>
      </c>
      <c r="D82" s="615"/>
      <c r="E82" s="615"/>
      <c r="F82" s="615"/>
      <c r="G82" s="615"/>
      <c r="H82" s="615"/>
      <c r="I82" s="615"/>
      <c r="J82" s="615"/>
      <c r="K82" s="615"/>
      <c r="L82" s="64"/>
    </row>
  </sheetData>
  <sheetProtection formatCells="0"/>
  <mergeCells count="5">
    <mergeCell ref="G2:H2"/>
    <mergeCell ref="E70:E73"/>
    <mergeCell ref="E74:E76"/>
    <mergeCell ref="I12:J12"/>
    <mergeCell ref="K12:L12"/>
  </mergeCells>
  <pageMargins left="0.7" right="0.7" top="0.75" bottom="0.75" header="0.3" footer="0.3"/>
  <pageSetup orientation="portrait" r:id="rId1"/>
  <ignoredErrors>
    <ignoredError sqref="D67 D39:D40 D42:D44" unlocked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5"/>
  <dimension ref="A1:L27"/>
  <sheetViews>
    <sheetView workbookViewId="0">
      <selection activeCell="C15" sqref="C15"/>
    </sheetView>
  </sheetViews>
  <sheetFormatPr baseColWidth="10" defaultColWidth="11.42578125" defaultRowHeight="15" x14ac:dyDescent="0.25"/>
  <cols>
    <col min="1" max="1" width="23.28515625" style="11" bestFit="1" customWidth="1"/>
    <col min="2" max="3" width="12.7109375" style="11" customWidth="1"/>
    <col min="4" max="4" width="8.5703125" style="11" customWidth="1"/>
    <col min="5" max="5" width="3.7109375" style="11" customWidth="1"/>
    <col min="6" max="7" width="18.7109375" style="11" customWidth="1"/>
    <col min="8" max="9" width="11.42578125" style="11"/>
    <col min="10" max="10" width="8.5703125" style="11" customWidth="1"/>
    <col min="11" max="11" width="15.140625" style="11" customWidth="1"/>
    <col min="12" max="12" width="17.7109375" style="11" customWidth="1"/>
    <col min="13" max="16384" width="11.42578125" style="11"/>
  </cols>
  <sheetData>
    <row r="1" spans="1:12" ht="18.75" x14ac:dyDescent="0.3">
      <c r="A1" s="9" t="s">
        <v>53</v>
      </c>
    </row>
    <row r="2" spans="1:12" x14ac:dyDescent="0.25">
      <c r="F2" s="497" t="s">
        <v>294</v>
      </c>
    </row>
    <row r="4" spans="1:12" x14ac:dyDescent="0.25">
      <c r="A4" s="87"/>
      <c r="B4" s="65" t="s">
        <v>157</v>
      </c>
      <c r="C4" s="41" t="s">
        <v>78</v>
      </c>
      <c r="F4" s="656" t="s">
        <v>212</v>
      </c>
      <c r="G4" s="657"/>
    </row>
    <row r="5" spans="1:12" x14ac:dyDescent="0.25">
      <c r="A5" s="88" t="s">
        <v>132</v>
      </c>
      <c r="B5" s="369">
        <v>0.97</v>
      </c>
      <c r="C5" s="369">
        <v>0.97</v>
      </c>
      <c r="D5" s="427">
        <f>7500/B5</f>
        <v>7731.9587628865984</v>
      </c>
      <c r="F5" s="510" t="s">
        <v>280</v>
      </c>
      <c r="G5" s="182"/>
      <c r="J5" s="89"/>
    </row>
    <row r="6" spans="1:12" x14ac:dyDescent="0.25">
      <c r="A6" s="88" t="s">
        <v>156</v>
      </c>
      <c r="B6" s="370">
        <f>C6*2</f>
        <v>3286.36</v>
      </c>
      <c r="C6" s="370">
        <f>(((52*NbrJoursSem)-Jrs_Feries-Jours_Vacances)*7)*EffProd</f>
        <v>1643.18</v>
      </c>
      <c r="D6" s="11">
        <f>7500*B5</f>
        <v>7275</v>
      </c>
      <c r="F6" s="53"/>
      <c r="G6" s="54"/>
    </row>
    <row r="7" spans="1:12" x14ac:dyDescent="0.25">
      <c r="A7" s="88" t="s">
        <v>155</v>
      </c>
      <c r="B7" s="496">
        <f>1-1.5%</f>
        <v>0.98499999999999999</v>
      </c>
      <c r="C7" s="371">
        <f>1-1.5%</f>
        <v>0.98499999999999999</v>
      </c>
      <c r="D7" s="11">
        <f>7500-D6</f>
        <v>225</v>
      </c>
      <c r="F7" s="53"/>
      <c r="G7" s="54"/>
    </row>
    <row r="8" spans="1:12" x14ac:dyDescent="0.25">
      <c r="A8" s="88" t="s">
        <v>154</v>
      </c>
      <c r="B8" s="370">
        <f>ROUNDUP(NbItems/B7,0)</f>
        <v>7615</v>
      </c>
      <c r="C8" s="370">
        <f>B8</f>
        <v>7615</v>
      </c>
      <c r="D8" s="11">
        <f>7500/B7</f>
        <v>7614.2131979695432</v>
      </c>
      <c r="F8" s="511"/>
      <c r="G8" s="59"/>
    </row>
    <row r="9" spans="1:12" x14ac:dyDescent="0.25">
      <c r="A9" s="55" t="s">
        <v>158</v>
      </c>
      <c r="B9" s="618">
        <f>DonnéesProd!G14</f>
        <v>14</v>
      </c>
      <c r="C9" s="619">
        <f>DonnéesProd!G15</f>
        <v>7</v>
      </c>
      <c r="F9" s="576" t="s">
        <v>321</v>
      </c>
      <c r="G9" s="59"/>
      <c r="K9" s="663" t="s">
        <v>342</v>
      </c>
      <c r="L9" s="663"/>
    </row>
    <row r="10" spans="1:12" x14ac:dyDescent="0.25">
      <c r="A10" s="55" t="s">
        <v>159</v>
      </c>
      <c r="B10" s="372">
        <f>B8/B6</f>
        <v>2.3171533246509814</v>
      </c>
      <c r="C10" s="619">
        <f>C8/C6</f>
        <v>4.6343066493019629</v>
      </c>
      <c r="F10" s="576" t="s">
        <v>322</v>
      </c>
      <c r="G10" s="59"/>
      <c r="K10" s="663"/>
      <c r="L10" s="663"/>
    </row>
    <row r="11" spans="1:12" x14ac:dyDescent="0.25">
      <c r="A11" s="55" t="s">
        <v>160</v>
      </c>
      <c r="B11" s="373">
        <f>NbMoteur_par_Heure/60</f>
        <v>3.8619222077516356E-2</v>
      </c>
      <c r="C11" s="620">
        <f>C10/60</f>
        <v>7.7238444155032712E-2</v>
      </c>
      <c r="F11" s="47"/>
      <c r="G11" s="48"/>
    </row>
    <row r="12" spans="1:12" x14ac:dyDescent="0.25">
      <c r="D12" s="79"/>
      <c r="F12" s="47"/>
      <c r="G12" s="48"/>
    </row>
    <row r="13" spans="1:12" x14ac:dyDescent="0.25">
      <c r="A13" s="90" t="s">
        <v>161</v>
      </c>
      <c r="C13" s="575">
        <v>7</v>
      </c>
      <c r="D13" s="79"/>
      <c r="F13" s="47"/>
      <c r="G13" s="48"/>
    </row>
    <row r="14" spans="1:12" ht="15.75" thickBot="1" x14ac:dyDescent="0.3">
      <c r="D14" s="79"/>
      <c r="F14" s="47"/>
      <c r="G14" s="48"/>
    </row>
    <row r="15" spans="1:12" x14ac:dyDescent="0.25">
      <c r="A15" s="91" t="s">
        <v>209</v>
      </c>
      <c r="B15" s="577">
        <f>B16*60</f>
        <v>1553.6304661851611</v>
      </c>
      <c r="C15" s="580">
        <f>C16*60</f>
        <v>776.81523309258057</v>
      </c>
      <c r="D15" s="11" t="s">
        <v>162</v>
      </c>
      <c r="G15" s="48"/>
      <c r="H15" s="413"/>
    </row>
    <row r="16" spans="1:12" x14ac:dyDescent="0.25">
      <c r="B16" s="578">
        <f>1/NbMoteur_par_Min</f>
        <v>25.893841103086018</v>
      </c>
      <c r="C16" s="581">
        <f>1/C11</f>
        <v>12.946920551543009</v>
      </c>
      <c r="D16" s="11" t="s">
        <v>163</v>
      </c>
      <c r="F16" s="47"/>
      <c r="G16" s="48"/>
    </row>
    <row r="17" spans="1:9" ht="15.75" thickBot="1" x14ac:dyDescent="0.3">
      <c r="B17" s="579">
        <f>1/NbMoteur_par_Heure</f>
        <v>0.43156401838476693</v>
      </c>
      <c r="C17" s="582">
        <f>1/C10</f>
        <v>0.21578200919238347</v>
      </c>
      <c r="D17" s="11" t="s">
        <v>164</v>
      </c>
      <c r="F17" s="47"/>
      <c r="G17" s="48"/>
    </row>
    <row r="18" spans="1:9" x14ac:dyDescent="0.25">
      <c r="B18" s="79"/>
      <c r="F18" s="47"/>
      <c r="G18" s="48"/>
    </row>
    <row r="19" spans="1:9" x14ac:dyDescent="0.25">
      <c r="A19" s="88" t="s">
        <v>200</v>
      </c>
      <c r="B19" s="546">
        <v>25.5</v>
      </c>
      <c r="C19" s="92">
        <f>C16</f>
        <v>12.946920551543009</v>
      </c>
      <c r="D19" s="11" t="s">
        <v>163</v>
      </c>
      <c r="F19" s="86"/>
      <c r="G19" s="52"/>
      <c r="I19" s="61"/>
    </row>
    <row r="20" spans="1:9" x14ac:dyDescent="0.25">
      <c r="B20" s="545" t="s">
        <v>312</v>
      </c>
      <c r="C20" s="93"/>
      <c r="D20" s="94"/>
    </row>
    <row r="23" spans="1:9" x14ac:dyDescent="0.25">
      <c r="D23" s="95"/>
    </row>
    <row r="27" spans="1:9" x14ac:dyDescent="0.25">
      <c r="D27" s="96"/>
    </row>
  </sheetData>
  <sheetProtection formatCells="0"/>
  <mergeCells count="2">
    <mergeCell ref="F4:G4"/>
    <mergeCell ref="K9:L10"/>
  </mergeCells>
  <phoneticPr fontId="29" type="noConversion"/>
  <pageMargins left="0.7" right="0.7" top="0.75" bottom="0.75" header="0.3" footer="0.3"/>
  <pageSetup orientation="portrait" r:id="rId1"/>
  <ignoredErrors>
    <ignoredError sqref="B6:C7 B8 B10:B11" unlockedFormula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>
    <pageSetUpPr fitToPage="1"/>
  </sheetPr>
  <dimension ref="B1:EK208"/>
  <sheetViews>
    <sheetView zoomScale="115" zoomScaleNormal="115" workbookViewId="0">
      <pane ySplit="8" topLeftCell="A9" activePane="bottomLeft" state="frozen"/>
      <selection pane="bottomLeft" activeCell="CS1" sqref="CS1:CS1048576"/>
    </sheetView>
  </sheetViews>
  <sheetFormatPr baseColWidth="10" defaultColWidth="11.42578125" defaultRowHeight="12.75" x14ac:dyDescent="0.2"/>
  <cols>
    <col min="1" max="1" width="1.7109375" style="1" customWidth="1"/>
    <col min="2" max="2" width="11.42578125" style="1" customWidth="1"/>
    <col min="3" max="443" width="1.7109375" style="1" customWidth="1"/>
    <col min="444" max="16384" width="11.42578125" style="1"/>
  </cols>
  <sheetData>
    <row r="1" spans="2:141" customFormat="1" x14ac:dyDescent="0.2">
      <c r="B1" s="146" t="s">
        <v>0</v>
      </c>
      <c r="CL1" s="1"/>
    </row>
    <row r="2" spans="2:141" customFormat="1" x14ac:dyDescent="0.2"/>
    <row r="3" spans="2:141" customFormat="1" x14ac:dyDescent="0.2">
      <c r="C3" s="147" t="s">
        <v>13</v>
      </c>
      <c r="D3" s="147"/>
      <c r="E3" s="147"/>
      <c r="F3" s="147"/>
      <c r="G3" s="147"/>
      <c r="H3" s="147"/>
      <c r="I3" s="147"/>
      <c r="J3" s="147"/>
      <c r="K3" s="147"/>
      <c r="M3" s="148" t="s">
        <v>14</v>
      </c>
      <c r="N3" s="148"/>
      <c r="O3" s="148"/>
      <c r="P3" s="148"/>
      <c r="Q3" s="148"/>
      <c r="R3" s="148"/>
      <c r="S3" s="148"/>
      <c r="T3" s="148"/>
      <c r="U3" s="148"/>
      <c r="W3" s="149" t="s">
        <v>15</v>
      </c>
      <c r="X3" s="149"/>
      <c r="Y3" s="149"/>
      <c r="Z3" s="149"/>
      <c r="AA3" s="149"/>
      <c r="AB3" s="149"/>
      <c r="AC3" s="149"/>
      <c r="AD3" s="149"/>
      <c r="AE3" s="149"/>
      <c r="AG3" s="150" t="s">
        <v>16</v>
      </c>
      <c r="AH3" s="150"/>
      <c r="AI3" s="150"/>
      <c r="AJ3" s="150"/>
      <c r="AK3" s="150"/>
      <c r="AL3" s="150"/>
      <c r="AM3" s="150"/>
      <c r="AN3" s="150"/>
      <c r="AO3" s="150"/>
      <c r="AQ3" s="151" t="s">
        <v>19</v>
      </c>
      <c r="AR3" s="151"/>
      <c r="AS3" s="151"/>
      <c r="AT3" s="151"/>
      <c r="AU3" s="151"/>
      <c r="AV3" s="151"/>
      <c r="AW3" s="151"/>
      <c r="AX3" s="151"/>
      <c r="AY3" s="151"/>
      <c r="BA3" s="152" t="s">
        <v>20</v>
      </c>
      <c r="BB3" s="152"/>
      <c r="BC3" s="152"/>
      <c r="BD3" s="152"/>
      <c r="BE3" s="152"/>
      <c r="BF3" s="152"/>
      <c r="BG3" s="152"/>
      <c r="BH3" s="152"/>
      <c r="BI3" s="152"/>
      <c r="BK3" s="153" t="s">
        <v>21</v>
      </c>
      <c r="BL3" s="153"/>
      <c r="BM3" s="153"/>
      <c r="BN3" s="153"/>
      <c r="BO3" s="153"/>
      <c r="BP3" s="153"/>
      <c r="BQ3" s="153"/>
      <c r="BR3" s="153"/>
      <c r="BS3" s="153"/>
      <c r="BU3" s="154" t="s">
        <v>22</v>
      </c>
      <c r="BV3" s="154"/>
      <c r="BW3" s="154"/>
      <c r="BX3" s="154"/>
      <c r="BY3" s="154"/>
      <c r="BZ3" s="154"/>
      <c r="CA3" s="154"/>
      <c r="CB3" s="154"/>
      <c r="CC3" s="154"/>
      <c r="CE3" s="155" t="s">
        <v>23</v>
      </c>
      <c r="CF3" s="155"/>
      <c r="CG3" s="155"/>
      <c r="CH3" s="155"/>
      <c r="CI3" s="155"/>
      <c r="CJ3" s="155"/>
      <c r="CK3" s="155"/>
      <c r="CL3" s="155"/>
      <c r="CM3" s="155"/>
      <c r="CO3" s="156" t="s">
        <v>24</v>
      </c>
      <c r="CP3" s="156"/>
      <c r="CQ3" s="156"/>
      <c r="CR3" s="156"/>
      <c r="CS3" s="156"/>
      <c r="CT3" s="156"/>
      <c r="CU3" s="156"/>
      <c r="CV3" s="156"/>
      <c r="CW3" s="156"/>
      <c r="CY3" s="157" t="s">
        <v>25</v>
      </c>
      <c r="CZ3" s="157"/>
      <c r="DA3" s="157"/>
      <c r="DB3" s="157"/>
      <c r="DC3" s="157"/>
      <c r="DD3" s="157"/>
      <c r="DE3" s="157"/>
      <c r="DF3" s="157"/>
      <c r="DG3" s="157"/>
      <c r="DI3" s="158" t="s">
        <v>26</v>
      </c>
      <c r="DJ3" s="158"/>
      <c r="DK3" s="158"/>
      <c r="DL3" s="158"/>
      <c r="DM3" s="158"/>
      <c r="DN3" s="158"/>
      <c r="DO3" s="158"/>
      <c r="DP3" s="158"/>
      <c r="DQ3" s="158"/>
      <c r="DS3" s="159" t="s">
        <v>28</v>
      </c>
      <c r="DT3" s="159"/>
      <c r="DU3" s="159"/>
      <c r="DV3" s="159"/>
      <c r="DW3" s="159"/>
      <c r="DX3" s="159"/>
      <c r="DY3" s="159"/>
      <c r="DZ3" s="159"/>
      <c r="EA3" s="159"/>
      <c r="EC3" s="160" t="s">
        <v>29</v>
      </c>
      <c r="ED3" s="160"/>
      <c r="EE3" s="160"/>
      <c r="EF3" s="160"/>
      <c r="EG3" s="160"/>
      <c r="EH3" s="160"/>
      <c r="EI3" s="160"/>
      <c r="EJ3" s="160"/>
      <c r="EK3" s="160"/>
    </row>
    <row r="4" spans="2:141" customFormat="1" x14ac:dyDescent="0.2">
      <c r="C4" s="161" t="s">
        <v>7</v>
      </c>
      <c r="D4" s="162"/>
      <c r="E4" s="163"/>
      <c r="F4" s="161" t="s">
        <v>18</v>
      </c>
      <c r="G4" s="162"/>
      <c r="H4" s="163"/>
      <c r="I4" s="161" t="s">
        <v>8</v>
      </c>
      <c r="J4" s="162"/>
      <c r="K4" s="163"/>
      <c r="M4" s="161" t="s">
        <v>7</v>
      </c>
      <c r="N4" s="162"/>
      <c r="O4" s="163"/>
      <c r="P4" s="161" t="s">
        <v>18</v>
      </c>
      <c r="Q4" s="162"/>
      <c r="R4" s="163"/>
      <c r="S4" s="161" t="s">
        <v>8</v>
      </c>
      <c r="T4" s="162"/>
      <c r="U4" s="163"/>
      <c r="W4" s="161" t="s">
        <v>7</v>
      </c>
      <c r="X4" s="162"/>
      <c r="Y4" s="163"/>
      <c r="Z4" s="161" t="s">
        <v>18</v>
      </c>
      <c r="AA4" s="162"/>
      <c r="AB4" s="163"/>
      <c r="AC4" s="161" t="s">
        <v>8</v>
      </c>
      <c r="AD4" s="162"/>
      <c r="AE4" s="163"/>
      <c r="AG4" s="161" t="s">
        <v>7</v>
      </c>
      <c r="AH4" s="162"/>
      <c r="AI4" s="163"/>
      <c r="AJ4" s="161" t="s">
        <v>18</v>
      </c>
      <c r="AK4" s="162"/>
      <c r="AL4" s="163"/>
      <c r="AM4" s="161" t="s">
        <v>8</v>
      </c>
      <c r="AN4" s="162"/>
      <c r="AO4" s="163"/>
      <c r="AQ4" s="161" t="s">
        <v>7</v>
      </c>
      <c r="AR4" s="162"/>
      <c r="AS4" s="163"/>
      <c r="AT4" s="161" t="s">
        <v>18</v>
      </c>
      <c r="AU4" s="162"/>
      <c r="AV4" s="163"/>
      <c r="AW4" s="161" t="s">
        <v>8</v>
      </c>
      <c r="AX4" s="162"/>
      <c r="AY4" s="163"/>
      <c r="BA4" s="161" t="s">
        <v>7</v>
      </c>
      <c r="BB4" s="162"/>
      <c r="BC4" s="163"/>
      <c r="BD4" s="161" t="s">
        <v>18</v>
      </c>
      <c r="BE4" s="162"/>
      <c r="BF4" s="163"/>
      <c r="BG4" s="161" t="s">
        <v>8</v>
      </c>
      <c r="BH4" s="162"/>
      <c r="BI4" s="163"/>
      <c r="BK4" s="161" t="s">
        <v>7</v>
      </c>
      <c r="BL4" s="162"/>
      <c r="BM4" s="163"/>
      <c r="BN4" s="161" t="s">
        <v>18</v>
      </c>
      <c r="BO4" s="162"/>
      <c r="BP4" s="163"/>
      <c r="BQ4" s="161" t="s">
        <v>8</v>
      </c>
      <c r="BR4" s="162"/>
      <c r="BS4" s="163"/>
      <c r="BU4" s="161" t="s">
        <v>7</v>
      </c>
      <c r="BV4" s="162"/>
      <c r="BW4" s="163"/>
      <c r="BX4" s="161" t="s">
        <v>18</v>
      </c>
      <c r="BY4" s="162"/>
      <c r="BZ4" s="163"/>
      <c r="CA4" s="161" t="s">
        <v>8</v>
      </c>
      <c r="CB4" s="162"/>
      <c r="CC4" s="163"/>
      <c r="CE4" s="161" t="s">
        <v>7</v>
      </c>
      <c r="CF4" s="162"/>
      <c r="CG4" s="163"/>
      <c r="CH4" s="161" t="s">
        <v>18</v>
      </c>
      <c r="CI4" s="162"/>
      <c r="CJ4" s="163"/>
      <c r="CK4" s="161" t="s">
        <v>8</v>
      </c>
      <c r="CL4" s="162"/>
      <c r="CM4" s="163"/>
      <c r="CO4" s="161" t="s">
        <v>7</v>
      </c>
      <c r="CP4" s="162"/>
      <c r="CQ4" s="163"/>
      <c r="CR4" s="161" t="s">
        <v>18</v>
      </c>
      <c r="CS4" s="162"/>
      <c r="CT4" s="163"/>
      <c r="CU4" s="161" t="s">
        <v>8</v>
      </c>
      <c r="CV4" s="162"/>
      <c r="CW4" s="163"/>
      <c r="CY4" s="161" t="s">
        <v>7</v>
      </c>
      <c r="CZ4" s="162"/>
      <c r="DA4" s="163"/>
      <c r="DB4" s="161" t="s">
        <v>18</v>
      </c>
      <c r="DC4" s="162"/>
      <c r="DD4" s="163"/>
      <c r="DE4" s="161" t="s">
        <v>8</v>
      </c>
      <c r="DF4" s="162"/>
      <c r="DG4" s="163"/>
      <c r="DI4" s="161" t="s">
        <v>7</v>
      </c>
      <c r="DJ4" s="162"/>
      <c r="DK4" s="163"/>
      <c r="DL4" s="161" t="s">
        <v>18</v>
      </c>
      <c r="DM4" s="162"/>
      <c r="DN4" s="163"/>
      <c r="DO4" s="161" t="s">
        <v>8</v>
      </c>
      <c r="DP4" s="162"/>
      <c r="DQ4" s="163"/>
      <c r="DS4" s="161" t="s">
        <v>7</v>
      </c>
      <c r="DT4" s="162"/>
      <c r="DU4" s="163"/>
      <c r="DV4" s="161" t="s">
        <v>18</v>
      </c>
      <c r="DW4" s="162"/>
      <c r="DX4" s="163"/>
      <c r="DY4" s="161" t="s">
        <v>8</v>
      </c>
      <c r="DZ4" s="162"/>
      <c r="EA4" s="163"/>
      <c r="EC4" s="161" t="s">
        <v>7</v>
      </c>
      <c r="ED4" s="162"/>
      <c r="EE4" s="163"/>
      <c r="EF4" s="161" t="s">
        <v>18</v>
      </c>
      <c r="EG4" s="162"/>
      <c r="EH4" s="163"/>
      <c r="EI4" s="161" t="s">
        <v>8</v>
      </c>
      <c r="EJ4" s="162"/>
      <c r="EK4" s="163"/>
    </row>
    <row r="5" spans="2:141" customFormat="1" x14ac:dyDescent="0.2">
      <c r="C5" s="164">
        <v>10</v>
      </c>
      <c r="D5" s="165"/>
      <c r="E5" s="166"/>
      <c r="F5" s="164">
        <v>3</v>
      </c>
      <c r="G5" s="165"/>
      <c r="H5" s="166"/>
      <c r="I5" s="164">
        <v>2</v>
      </c>
      <c r="J5" s="165"/>
      <c r="K5" s="166"/>
      <c r="M5" s="164">
        <v>10</v>
      </c>
      <c r="N5" s="165"/>
      <c r="O5" s="166"/>
      <c r="P5" s="164">
        <v>1</v>
      </c>
      <c r="Q5" s="165"/>
      <c r="R5" s="166"/>
      <c r="S5" s="164">
        <v>2</v>
      </c>
      <c r="T5" s="165"/>
      <c r="U5" s="166"/>
      <c r="W5" s="164">
        <v>10</v>
      </c>
      <c r="X5" s="165"/>
      <c r="Y5" s="166"/>
      <c r="Z5" s="164">
        <v>1</v>
      </c>
      <c r="AA5" s="165"/>
      <c r="AB5" s="166"/>
      <c r="AC5" s="164">
        <v>2.5</v>
      </c>
      <c r="AD5" s="165"/>
      <c r="AE5" s="166"/>
      <c r="AG5" s="164">
        <v>10</v>
      </c>
      <c r="AH5" s="165"/>
      <c r="AI5" s="166"/>
      <c r="AJ5" s="164">
        <v>1</v>
      </c>
      <c r="AK5" s="165"/>
      <c r="AL5" s="166"/>
      <c r="AM5" s="164">
        <v>3</v>
      </c>
      <c r="AN5" s="165"/>
      <c r="AO5" s="166"/>
      <c r="AQ5" s="164">
        <v>10</v>
      </c>
      <c r="AR5" s="165"/>
      <c r="AS5" s="166"/>
      <c r="AT5" s="164">
        <v>1</v>
      </c>
      <c r="AU5" s="165"/>
      <c r="AV5" s="166"/>
      <c r="AW5" s="164">
        <v>1.5</v>
      </c>
      <c r="AX5" s="165"/>
      <c r="AY5" s="166"/>
      <c r="BA5" s="164">
        <v>10</v>
      </c>
      <c r="BB5" s="165"/>
      <c r="BC5" s="166"/>
      <c r="BD5" s="164">
        <v>1</v>
      </c>
      <c r="BE5" s="165"/>
      <c r="BF5" s="166"/>
      <c r="BG5" s="164">
        <v>2</v>
      </c>
      <c r="BH5" s="165"/>
      <c r="BI5" s="166"/>
      <c r="BK5" s="164">
        <v>10</v>
      </c>
      <c r="BL5" s="165"/>
      <c r="BM5" s="166"/>
      <c r="BN5" s="164">
        <v>4</v>
      </c>
      <c r="BO5" s="165"/>
      <c r="BP5" s="166"/>
      <c r="BQ5" s="164">
        <v>2</v>
      </c>
      <c r="BR5" s="165"/>
      <c r="BS5" s="166"/>
      <c r="BU5" s="164">
        <v>10</v>
      </c>
      <c r="BV5" s="165"/>
      <c r="BW5" s="166"/>
      <c r="BX5" s="164">
        <v>3</v>
      </c>
      <c r="BY5" s="165"/>
      <c r="BZ5" s="166"/>
      <c r="CA5" s="164">
        <v>2</v>
      </c>
      <c r="CB5" s="165"/>
      <c r="CC5" s="166"/>
      <c r="CE5" s="164">
        <v>10</v>
      </c>
      <c r="CF5" s="165"/>
      <c r="CG5" s="166"/>
      <c r="CH5" s="164">
        <v>1</v>
      </c>
      <c r="CI5" s="165"/>
      <c r="CJ5" s="166"/>
      <c r="CK5" s="164">
        <v>2</v>
      </c>
      <c r="CL5" s="165"/>
      <c r="CM5" s="166"/>
      <c r="CO5" s="164">
        <v>10</v>
      </c>
      <c r="CP5" s="165"/>
      <c r="CQ5" s="166"/>
      <c r="CR5" s="164">
        <v>3</v>
      </c>
      <c r="CS5" s="165"/>
      <c r="CT5" s="166"/>
      <c r="CU5" s="164">
        <v>2.5</v>
      </c>
      <c r="CV5" s="165"/>
      <c r="CW5" s="166"/>
      <c r="CY5" s="164">
        <v>10</v>
      </c>
      <c r="CZ5" s="165"/>
      <c r="DA5" s="166"/>
      <c r="DB5" s="164">
        <v>1</v>
      </c>
      <c r="DC5" s="165"/>
      <c r="DD5" s="166"/>
      <c r="DE5" s="164">
        <v>1.5</v>
      </c>
      <c r="DF5" s="165"/>
      <c r="DG5" s="166"/>
      <c r="DI5" s="164">
        <v>10</v>
      </c>
      <c r="DJ5" s="165"/>
      <c r="DK5" s="166"/>
      <c r="DL5" s="164">
        <v>2</v>
      </c>
      <c r="DM5" s="165"/>
      <c r="DN5" s="166"/>
      <c r="DO5" s="164">
        <v>3</v>
      </c>
      <c r="DP5" s="165"/>
      <c r="DQ5" s="166"/>
      <c r="DS5" s="164">
        <v>10</v>
      </c>
      <c r="DT5" s="165"/>
      <c r="DU5" s="166"/>
      <c r="DV5" s="164">
        <v>3</v>
      </c>
      <c r="DW5" s="165"/>
      <c r="DX5" s="166"/>
      <c r="DY5" s="164">
        <v>1.5</v>
      </c>
      <c r="DZ5" s="165"/>
      <c r="EA5" s="166"/>
      <c r="EC5" s="164">
        <v>10</v>
      </c>
      <c r="ED5" s="165"/>
      <c r="EE5" s="166"/>
      <c r="EF5" s="164">
        <v>4</v>
      </c>
      <c r="EG5" s="165"/>
      <c r="EH5" s="166"/>
      <c r="EI5" s="164">
        <v>3</v>
      </c>
      <c r="EJ5" s="165"/>
      <c r="EK5" s="166"/>
    </row>
    <row r="6" spans="2:141" customFormat="1" x14ac:dyDescent="0.2">
      <c r="C6" s="164">
        <v>20</v>
      </c>
      <c r="D6" s="165"/>
      <c r="E6" s="166"/>
      <c r="F6" s="164">
        <v>2</v>
      </c>
      <c r="G6" s="165"/>
      <c r="H6" s="166"/>
      <c r="I6" s="164">
        <v>4</v>
      </c>
      <c r="J6" s="165"/>
      <c r="K6" s="166"/>
      <c r="M6" s="164">
        <v>20</v>
      </c>
      <c r="N6" s="165"/>
      <c r="O6" s="166"/>
      <c r="P6" s="164">
        <v>3</v>
      </c>
      <c r="Q6" s="165"/>
      <c r="R6" s="166"/>
      <c r="S6" s="164">
        <v>2.5</v>
      </c>
      <c r="T6" s="165"/>
      <c r="U6" s="166"/>
      <c r="W6" s="164">
        <v>20</v>
      </c>
      <c r="X6" s="165"/>
      <c r="Y6" s="166"/>
      <c r="Z6" s="164">
        <v>3</v>
      </c>
      <c r="AA6" s="165"/>
      <c r="AB6" s="166"/>
      <c r="AC6" s="164">
        <v>3.5</v>
      </c>
      <c r="AD6" s="165"/>
      <c r="AE6" s="166"/>
      <c r="AG6" s="164">
        <v>20</v>
      </c>
      <c r="AH6" s="165"/>
      <c r="AI6" s="166"/>
      <c r="AJ6" s="164">
        <v>2</v>
      </c>
      <c r="AK6" s="165"/>
      <c r="AL6" s="166"/>
      <c r="AM6" s="164">
        <v>2.5</v>
      </c>
      <c r="AN6" s="165"/>
      <c r="AO6" s="166"/>
      <c r="AQ6" s="164">
        <v>20</v>
      </c>
      <c r="AR6" s="165"/>
      <c r="AS6" s="166"/>
      <c r="AT6" s="164">
        <v>3</v>
      </c>
      <c r="AU6" s="165"/>
      <c r="AV6" s="166"/>
      <c r="AW6" s="164">
        <v>3</v>
      </c>
      <c r="AX6" s="165"/>
      <c r="AY6" s="166"/>
      <c r="BA6" s="164">
        <v>20</v>
      </c>
      <c r="BB6" s="165"/>
      <c r="BC6" s="166"/>
      <c r="BD6" s="164">
        <v>2</v>
      </c>
      <c r="BE6" s="165"/>
      <c r="BF6" s="166"/>
      <c r="BG6" s="164">
        <v>3.5</v>
      </c>
      <c r="BH6" s="165"/>
      <c r="BI6" s="166"/>
      <c r="BK6" s="164">
        <v>20</v>
      </c>
      <c r="BL6" s="165"/>
      <c r="BM6" s="166"/>
      <c r="BN6" s="164">
        <v>3</v>
      </c>
      <c r="BO6" s="165"/>
      <c r="BP6" s="166"/>
      <c r="BQ6" s="164">
        <v>3</v>
      </c>
      <c r="BR6" s="165"/>
      <c r="BS6" s="166"/>
      <c r="BU6" s="164">
        <v>20</v>
      </c>
      <c r="BV6" s="165"/>
      <c r="BW6" s="166"/>
      <c r="BX6" s="164">
        <v>4</v>
      </c>
      <c r="BY6" s="165"/>
      <c r="BZ6" s="166"/>
      <c r="CA6" s="164">
        <v>1</v>
      </c>
      <c r="CB6" s="165"/>
      <c r="CC6" s="166"/>
      <c r="CE6" s="164">
        <v>20</v>
      </c>
      <c r="CF6" s="165"/>
      <c r="CG6" s="166"/>
      <c r="CH6" s="164">
        <v>3</v>
      </c>
      <c r="CI6" s="165"/>
      <c r="CJ6" s="166"/>
      <c r="CK6" s="164">
        <v>3</v>
      </c>
      <c r="CL6" s="165"/>
      <c r="CM6" s="166"/>
      <c r="CO6" s="164">
        <v>20</v>
      </c>
      <c r="CP6" s="165"/>
      <c r="CQ6" s="166"/>
      <c r="CR6" s="164">
        <v>4</v>
      </c>
      <c r="CS6" s="165"/>
      <c r="CT6" s="166"/>
      <c r="CU6" s="164">
        <v>3</v>
      </c>
      <c r="CV6" s="165"/>
      <c r="CW6" s="166"/>
      <c r="CY6" s="164">
        <v>20</v>
      </c>
      <c r="CZ6" s="165"/>
      <c r="DA6" s="166"/>
      <c r="DB6" s="164">
        <v>3</v>
      </c>
      <c r="DC6" s="165"/>
      <c r="DD6" s="166"/>
      <c r="DE6" s="164">
        <v>2</v>
      </c>
      <c r="DF6" s="165"/>
      <c r="DG6" s="166"/>
      <c r="DI6" s="164">
        <v>20</v>
      </c>
      <c r="DJ6" s="165"/>
      <c r="DK6" s="166"/>
      <c r="DL6" s="164">
        <v>4</v>
      </c>
      <c r="DM6" s="165"/>
      <c r="DN6" s="166"/>
      <c r="DO6" s="164">
        <v>2.5</v>
      </c>
      <c r="DP6" s="165"/>
      <c r="DQ6" s="166"/>
      <c r="DS6" s="164">
        <v>20</v>
      </c>
      <c r="DT6" s="165"/>
      <c r="DU6" s="166"/>
      <c r="DV6" s="164">
        <v>4</v>
      </c>
      <c r="DW6" s="165"/>
      <c r="DX6" s="166"/>
      <c r="DY6" s="164">
        <v>2</v>
      </c>
      <c r="DZ6" s="165"/>
      <c r="EA6" s="166"/>
      <c r="EC6" s="164">
        <v>20</v>
      </c>
      <c r="ED6" s="165"/>
      <c r="EE6" s="166"/>
      <c r="EF6" s="164">
        <v>3</v>
      </c>
      <c r="EG6" s="165"/>
      <c r="EH6" s="166"/>
      <c r="EI6" s="164">
        <v>2</v>
      </c>
      <c r="EJ6" s="165"/>
      <c r="EK6" s="166"/>
    </row>
    <row r="7" spans="2:141" customFormat="1" x14ac:dyDescent="0.2">
      <c r="M7" s="164">
        <v>30</v>
      </c>
      <c r="N7" s="165"/>
      <c r="O7" s="166"/>
      <c r="P7" s="164">
        <v>4</v>
      </c>
      <c r="Q7" s="165"/>
      <c r="R7" s="166"/>
      <c r="S7" s="164">
        <v>3</v>
      </c>
      <c r="T7" s="165"/>
      <c r="U7" s="166"/>
      <c r="W7" s="164">
        <v>30</v>
      </c>
      <c r="X7" s="165"/>
      <c r="Y7" s="166"/>
      <c r="Z7" s="164">
        <v>4</v>
      </c>
      <c r="AA7" s="165"/>
      <c r="AB7" s="166"/>
      <c r="AC7" s="164">
        <v>3</v>
      </c>
      <c r="AD7" s="165"/>
      <c r="AE7" s="166"/>
      <c r="BA7" s="164">
        <v>30</v>
      </c>
      <c r="BB7" s="165"/>
      <c r="BC7" s="166"/>
      <c r="BD7" s="164">
        <v>4</v>
      </c>
      <c r="BE7" s="165"/>
      <c r="BF7" s="166"/>
      <c r="BG7" s="164">
        <v>3</v>
      </c>
      <c r="BH7" s="165"/>
      <c r="BI7" s="166"/>
      <c r="CE7" s="164">
        <v>30</v>
      </c>
      <c r="CF7" s="165"/>
      <c r="CG7" s="166"/>
      <c r="CH7" s="164">
        <v>4</v>
      </c>
      <c r="CI7" s="165"/>
      <c r="CJ7" s="166"/>
      <c r="CK7" s="164">
        <v>3</v>
      </c>
      <c r="CL7" s="165"/>
      <c r="CM7" s="166"/>
    </row>
    <row r="8" spans="2:141" customFormat="1" x14ac:dyDescent="0.2"/>
    <row r="9" spans="2:141" ht="13.5" thickBot="1" x14ac:dyDescent="0.25"/>
    <row r="10" spans="2:141" ht="15.75" thickBot="1" x14ac:dyDescent="0.25">
      <c r="B10" s="122" t="s">
        <v>5</v>
      </c>
      <c r="C10" s="123"/>
      <c r="D10" s="123"/>
      <c r="E10" s="123"/>
      <c r="F10" s="123"/>
      <c r="G10" s="123"/>
      <c r="H10" s="123"/>
      <c r="I10" s="123"/>
      <c r="J10" s="123"/>
      <c r="K10" s="123"/>
      <c r="L10" s="123"/>
      <c r="M10" s="123"/>
      <c r="N10" s="123"/>
      <c r="O10" s="123"/>
      <c r="P10" s="123"/>
      <c r="Q10" s="123"/>
      <c r="R10" s="123"/>
      <c r="S10" s="123"/>
      <c r="T10" s="123"/>
      <c r="U10" s="123"/>
      <c r="V10" s="123"/>
      <c r="W10" s="123"/>
      <c r="X10" s="123"/>
      <c r="Y10" s="123"/>
      <c r="Z10" s="123"/>
      <c r="AA10" s="123"/>
      <c r="AB10" s="123"/>
      <c r="AC10" s="123"/>
      <c r="AD10" s="123"/>
      <c r="AE10" s="123"/>
      <c r="AF10" s="123"/>
      <c r="AG10" s="123"/>
      <c r="AH10" s="123"/>
      <c r="AI10" s="123"/>
      <c r="AJ10" s="123"/>
      <c r="AK10" s="123"/>
      <c r="AL10" s="123"/>
      <c r="AM10" s="123"/>
      <c r="AN10" s="124"/>
      <c r="AO10" s="123"/>
      <c r="AP10" s="123"/>
      <c r="AQ10" s="123"/>
      <c r="AR10" s="123"/>
      <c r="AS10" s="123"/>
      <c r="AT10" s="123"/>
      <c r="AU10" s="123"/>
      <c r="AV10" s="123"/>
      <c r="AW10" s="123"/>
      <c r="AX10" s="123"/>
      <c r="AY10" s="123"/>
      <c r="AZ10" s="123"/>
      <c r="BA10" s="123"/>
      <c r="BB10" s="123"/>
      <c r="BC10" s="123"/>
      <c r="BD10" s="123"/>
      <c r="BE10" s="123"/>
      <c r="BF10" s="123"/>
      <c r="BG10" s="123"/>
      <c r="BH10" s="123"/>
      <c r="BI10" s="123"/>
      <c r="BJ10" s="123"/>
      <c r="BK10" s="123"/>
      <c r="BL10" s="123"/>
      <c r="BM10" s="123"/>
      <c r="BN10" s="123"/>
      <c r="BO10" s="123"/>
      <c r="BP10" s="123"/>
      <c r="BQ10" s="123"/>
      <c r="BR10" s="123"/>
      <c r="BS10" s="123"/>
      <c r="BT10" s="123"/>
      <c r="BU10" s="123"/>
      <c r="BV10" s="123"/>
      <c r="BW10" s="123"/>
      <c r="BX10" s="123"/>
      <c r="BY10" s="123"/>
      <c r="BZ10" s="123"/>
      <c r="CA10" s="123"/>
      <c r="CB10" s="123"/>
      <c r="CC10" s="123"/>
      <c r="CD10" s="125"/>
    </row>
    <row r="11" spans="2:141" ht="13.5" thickBot="1" x14ac:dyDescent="0.25">
      <c r="B11" s="126"/>
      <c r="C11" s="127">
        <v>1</v>
      </c>
      <c r="D11" s="128"/>
      <c r="E11" s="129">
        <v>2</v>
      </c>
      <c r="F11" s="128"/>
      <c r="G11" s="129">
        <v>3</v>
      </c>
      <c r="H11" s="128"/>
      <c r="I11" s="129">
        <v>4</v>
      </c>
      <c r="J11" s="128"/>
      <c r="K11" s="129">
        <v>5</v>
      </c>
      <c r="L11" s="128"/>
      <c r="M11" s="129">
        <v>6</v>
      </c>
      <c r="N11" s="128"/>
      <c r="O11" s="129">
        <v>7</v>
      </c>
      <c r="P11" s="128"/>
      <c r="Q11" s="417">
        <v>8</v>
      </c>
      <c r="R11" s="418"/>
      <c r="S11" s="417">
        <v>9</v>
      </c>
      <c r="T11" s="418"/>
      <c r="U11" s="417">
        <v>10</v>
      </c>
      <c r="V11" s="418"/>
      <c r="W11" s="417">
        <v>11</v>
      </c>
      <c r="X11" s="128"/>
      <c r="Y11" s="129">
        <v>12</v>
      </c>
      <c r="Z11" s="128"/>
      <c r="AA11" s="129">
        <v>13</v>
      </c>
      <c r="AB11" s="128"/>
      <c r="AC11" s="129">
        <v>14</v>
      </c>
      <c r="AD11" s="128"/>
      <c r="AE11" s="129">
        <v>15</v>
      </c>
      <c r="AF11" s="128"/>
      <c r="AG11" s="129">
        <v>16</v>
      </c>
      <c r="AH11" s="128"/>
      <c r="AI11" s="129">
        <v>17</v>
      </c>
      <c r="AJ11" s="128"/>
      <c r="AK11" s="129">
        <v>18</v>
      </c>
      <c r="AL11" s="128"/>
      <c r="AM11" s="129">
        <v>19</v>
      </c>
      <c r="AN11" s="128"/>
      <c r="AO11" s="129">
        <v>20</v>
      </c>
      <c r="AP11" s="128"/>
      <c r="AQ11" s="129">
        <v>21</v>
      </c>
      <c r="AR11" s="128"/>
      <c r="AS11" s="129">
        <v>22</v>
      </c>
      <c r="AT11" s="128"/>
      <c r="AU11" s="129">
        <v>23</v>
      </c>
      <c r="AV11" s="128"/>
      <c r="AW11" s="129">
        <v>24</v>
      </c>
      <c r="AX11" s="128"/>
      <c r="AY11" s="129">
        <v>25</v>
      </c>
      <c r="AZ11" s="128"/>
      <c r="BA11" s="129">
        <v>26</v>
      </c>
      <c r="BB11" s="128"/>
      <c r="BC11" s="129">
        <v>27</v>
      </c>
      <c r="BD11" s="128"/>
      <c r="BE11" s="129">
        <v>28</v>
      </c>
      <c r="BF11" s="128"/>
      <c r="BG11" s="129">
        <v>29</v>
      </c>
      <c r="BH11" s="128"/>
      <c r="BI11" s="129">
        <v>30</v>
      </c>
      <c r="BJ11" s="128"/>
      <c r="BK11" s="129">
        <v>31</v>
      </c>
      <c r="BL11" s="128"/>
      <c r="BM11" s="129">
        <v>32</v>
      </c>
      <c r="BN11" s="128"/>
      <c r="BO11" s="129">
        <v>33</v>
      </c>
      <c r="BP11" s="128"/>
      <c r="BQ11" s="129">
        <v>34</v>
      </c>
      <c r="BR11" s="128"/>
      <c r="BS11" s="129">
        <v>35</v>
      </c>
      <c r="BT11" s="128"/>
      <c r="BU11" s="129">
        <v>36</v>
      </c>
      <c r="BV11" s="128"/>
      <c r="BW11" s="129">
        <v>37</v>
      </c>
      <c r="BX11" s="128"/>
      <c r="BY11" s="129">
        <v>38</v>
      </c>
      <c r="BZ11" s="128"/>
      <c r="CA11" s="129">
        <v>39</v>
      </c>
      <c r="CB11" s="128"/>
      <c r="CC11" s="129">
        <v>40</v>
      </c>
      <c r="CD11" s="130"/>
      <c r="CG11" s="414" t="s">
        <v>277</v>
      </c>
    </row>
    <row r="12" spans="2:141" x14ac:dyDescent="0.2">
      <c r="B12" s="377" t="s">
        <v>9</v>
      </c>
      <c r="C12" s="266"/>
      <c r="D12" s="266"/>
      <c r="E12" s="266"/>
      <c r="F12" s="266"/>
      <c r="G12" s="267"/>
      <c r="H12" s="267"/>
      <c r="I12" s="267"/>
      <c r="J12" s="267"/>
      <c r="K12" s="267"/>
      <c r="L12" s="268"/>
      <c r="M12" s="268"/>
      <c r="N12" s="268"/>
      <c r="O12" s="268"/>
      <c r="P12" s="268"/>
      <c r="Q12" s="455"/>
      <c r="R12" s="454"/>
      <c r="S12" s="454"/>
      <c r="T12" s="454"/>
      <c r="U12" s="456"/>
      <c r="V12" s="456"/>
      <c r="W12" s="456"/>
      <c r="X12" s="270"/>
      <c r="Y12" s="273"/>
      <c r="Z12" s="273"/>
      <c r="AA12" s="273"/>
      <c r="AB12" s="273"/>
      <c r="AC12" s="275"/>
      <c r="AD12" s="275"/>
      <c r="AE12" s="275"/>
      <c r="AF12" s="132"/>
      <c r="AG12" s="132"/>
      <c r="AH12" s="132"/>
      <c r="AI12" s="132"/>
      <c r="AJ12" s="132"/>
      <c r="CD12" s="133"/>
      <c r="CG12" s="414" t="s">
        <v>281</v>
      </c>
    </row>
    <row r="13" spans="2:141" ht="3.95" customHeight="1" x14ac:dyDescent="0.2">
      <c r="B13" s="280"/>
      <c r="C13" s="135"/>
      <c r="D13" s="135"/>
      <c r="E13" s="135"/>
      <c r="F13" s="135"/>
      <c r="G13" s="135"/>
      <c r="H13" s="135"/>
      <c r="I13" s="135"/>
      <c r="L13" s="135"/>
      <c r="M13" s="135"/>
      <c r="N13" s="135"/>
      <c r="O13" s="135"/>
      <c r="P13" s="135"/>
      <c r="Q13" s="135"/>
      <c r="R13" s="135"/>
      <c r="S13" s="135"/>
      <c r="T13" s="135"/>
      <c r="U13" s="135"/>
      <c r="V13" s="135"/>
      <c r="W13" s="135"/>
      <c r="X13" s="135"/>
      <c r="Y13" s="135"/>
      <c r="Z13" s="135"/>
      <c r="AA13" s="135"/>
      <c r="AB13" s="135"/>
      <c r="AC13" s="135"/>
      <c r="AD13" s="135"/>
      <c r="AE13" s="135"/>
      <c r="AF13" s="135"/>
      <c r="AG13" s="135"/>
      <c r="AH13" s="135"/>
      <c r="AI13" s="135"/>
      <c r="AJ13" s="135"/>
      <c r="AK13" s="135"/>
      <c r="AL13" s="135"/>
      <c r="AM13" s="135"/>
      <c r="AN13" s="135"/>
      <c r="AO13" s="135"/>
      <c r="AP13" s="135"/>
      <c r="AQ13" s="135"/>
      <c r="AR13" s="135"/>
      <c r="AS13" s="135"/>
      <c r="AT13" s="135"/>
      <c r="AU13" s="135"/>
      <c r="AV13" s="135"/>
      <c r="AW13" s="135"/>
      <c r="AX13" s="135"/>
      <c r="AY13" s="135"/>
      <c r="AZ13" s="135"/>
      <c r="BA13" s="135"/>
      <c r="BB13" s="135"/>
      <c r="BC13" s="135"/>
      <c r="BD13" s="135"/>
      <c r="BE13" s="135"/>
      <c r="BF13" s="135"/>
      <c r="BG13" s="135"/>
      <c r="BH13" s="135"/>
      <c r="BI13" s="135"/>
      <c r="BJ13" s="135"/>
      <c r="BK13" s="135"/>
      <c r="BL13" s="135"/>
      <c r="BM13" s="135"/>
      <c r="BN13" s="135"/>
      <c r="BO13" s="135"/>
      <c r="BP13" s="135"/>
      <c r="BQ13" s="135"/>
      <c r="BR13" s="135"/>
      <c r="BS13" s="135"/>
      <c r="BT13" s="135"/>
      <c r="BU13" s="135"/>
      <c r="BV13" s="135"/>
      <c r="BW13" s="135"/>
      <c r="BX13" s="135"/>
      <c r="BY13" s="135"/>
      <c r="BZ13" s="135"/>
      <c r="CA13" s="135"/>
      <c r="CB13" s="135"/>
      <c r="CC13" s="135"/>
      <c r="CD13" s="136"/>
    </row>
    <row r="14" spans="2:141" x14ac:dyDescent="0.2">
      <c r="B14" s="145" t="s">
        <v>10</v>
      </c>
      <c r="C14" s="131"/>
      <c r="D14" s="131"/>
      <c r="G14" s="265"/>
      <c r="H14" s="265"/>
      <c r="I14" s="265"/>
      <c r="J14" s="265"/>
      <c r="K14" s="265"/>
      <c r="L14" s="265"/>
      <c r="M14" s="265"/>
      <c r="N14" s="265"/>
      <c r="R14" s="268"/>
      <c r="S14" s="268"/>
      <c r="T14" s="268"/>
      <c r="U14" s="268"/>
      <c r="V14" s="268"/>
      <c r="Y14" s="270"/>
      <c r="Z14" s="270"/>
      <c r="AA14" s="270"/>
      <c r="AB14" s="270"/>
      <c r="AC14" s="270"/>
      <c r="AD14" s="270"/>
      <c r="AE14" s="270"/>
      <c r="AF14" s="276"/>
      <c r="AG14" s="276"/>
      <c r="AH14" s="276"/>
      <c r="AI14" s="276"/>
      <c r="AJ14" s="276"/>
      <c r="AK14" s="276"/>
      <c r="AL14" s="131"/>
      <c r="AM14" s="131"/>
      <c r="AN14" s="131"/>
      <c r="AP14" s="131"/>
      <c r="AQ14" s="131"/>
      <c r="AR14" s="131"/>
      <c r="AS14" s="131"/>
      <c r="AT14" s="131"/>
      <c r="AU14" s="131"/>
      <c r="AV14" s="131"/>
      <c r="AW14" s="131"/>
      <c r="AX14" s="131"/>
      <c r="AY14" s="131"/>
      <c r="AZ14" s="131"/>
      <c r="BA14" s="131"/>
      <c r="BB14" s="131"/>
      <c r="BC14" s="131"/>
      <c r="BD14" s="131"/>
      <c r="CD14" s="133"/>
    </row>
    <row r="15" spans="2:141" ht="3.95" customHeight="1" x14ac:dyDescent="0.2">
      <c r="B15" s="280"/>
      <c r="C15" s="135"/>
      <c r="D15" s="135"/>
      <c r="E15" s="135"/>
      <c r="F15" s="135"/>
      <c r="G15" s="135"/>
      <c r="H15" s="135"/>
      <c r="I15" s="135"/>
      <c r="J15" s="135"/>
      <c r="K15" s="135"/>
      <c r="L15" s="135"/>
      <c r="M15" s="135"/>
      <c r="N15" s="135"/>
      <c r="O15" s="135"/>
      <c r="P15" s="135"/>
      <c r="Q15" s="135"/>
      <c r="R15" s="135"/>
      <c r="S15" s="135"/>
      <c r="T15" s="135"/>
      <c r="U15" s="135"/>
      <c r="V15" s="135"/>
      <c r="W15" s="135"/>
      <c r="X15" s="135"/>
      <c r="Y15" s="135"/>
      <c r="Z15" s="135"/>
      <c r="AA15" s="135"/>
      <c r="AB15" s="135"/>
      <c r="AC15" s="135"/>
      <c r="AD15" s="135"/>
      <c r="AE15" s="135"/>
      <c r="AF15" s="135"/>
      <c r="AG15" s="135"/>
      <c r="AH15" s="135"/>
      <c r="AI15" s="135"/>
      <c r="AJ15" s="135"/>
      <c r="AK15" s="135"/>
      <c r="AL15" s="135"/>
      <c r="AM15" s="135"/>
      <c r="AN15" s="135"/>
      <c r="AO15" s="135"/>
      <c r="AP15" s="135"/>
      <c r="AQ15" s="135"/>
      <c r="AR15" s="135"/>
      <c r="AS15" s="135"/>
      <c r="AT15" s="135"/>
      <c r="AU15" s="135"/>
      <c r="AV15" s="135"/>
      <c r="AW15" s="135"/>
      <c r="AX15" s="135"/>
      <c r="AY15" s="135"/>
      <c r="AZ15" s="135"/>
      <c r="BA15" s="135"/>
      <c r="BB15" s="135"/>
      <c r="BC15" s="135"/>
      <c r="BD15" s="135"/>
      <c r="BE15" s="135"/>
      <c r="BF15" s="135"/>
      <c r="BG15" s="135"/>
      <c r="BH15" s="135"/>
      <c r="BI15" s="135"/>
      <c r="BJ15" s="135"/>
      <c r="BK15" s="135"/>
      <c r="BL15" s="135"/>
      <c r="BM15" s="135"/>
      <c r="BN15" s="135"/>
      <c r="BO15" s="135"/>
      <c r="BP15" s="135"/>
      <c r="BQ15" s="135"/>
      <c r="BR15" s="135"/>
      <c r="BS15" s="135"/>
      <c r="BT15" s="135"/>
      <c r="BU15" s="135"/>
      <c r="BV15" s="135"/>
      <c r="BW15" s="135"/>
      <c r="BX15" s="135"/>
      <c r="BY15" s="135"/>
      <c r="BZ15" s="135"/>
      <c r="CA15" s="135"/>
      <c r="CB15" s="135"/>
      <c r="CC15" s="135"/>
      <c r="CD15" s="136"/>
    </row>
    <row r="16" spans="2:141" x14ac:dyDescent="0.2">
      <c r="B16" s="145" t="s">
        <v>11</v>
      </c>
      <c r="C16" s="265"/>
      <c r="D16" s="265"/>
      <c r="E16" s="265"/>
      <c r="F16" s="265"/>
      <c r="G16" s="266"/>
      <c r="H16" s="266"/>
      <c r="I16" s="266"/>
      <c r="J16" s="266"/>
      <c r="K16" s="266"/>
      <c r="L16" s="267"/>
      <c r="M16" s="267"/>
      <c r="N16" s="267"/>
      <c r="O16" s="267"/>
      <c r="P16" s="267"/>
      <c r="Q16" s="267"/>
      <c r="R16" s="267"/>
      <c r="U16" s="269"/>
      <c r="V16" s="269"/>
      <c r="W16" s="269"/>
      <c r="X16" s="269"/>
      <c r="Y16" s="269"/>
      <c r="Z16" s="269"/>
      <c r="AA16" s="271"/>
      <c r="AB16" s="271"/>
      <c r="AC16" s="271"/>
      <c r="AD16" s="271"/>
      <c r="AE16" s="271"/>
      <c r="AF16" s="271"/>
      <c r="AG16" s="272"/>
      <c r="AH16" s="272"/>
      <c r="AI16" s="272"/>
      <c r="AJ16" s="272"/>
      <c r="AK16" s="273"/>
      <c r="AL16" s="273"/>
      <c r="AM16" s="273"/>
      <c r="AN16" s="273"/>
      <c r="AO16" s="273"/>
      <c r="AP16" s="273"/>
      <c r="AQ16" s="274"/>
      <c r="AR16" s="274"/>
      <c r="AS16" s="274"/>
      <c r="AT16" s="274"/>
      <c r="AU16" s="274"/>
      <c r="AV16" s="275"/>
      <c r="AW16" s="275"/>
      <c r="AX16" s="275"/>
      <c r="AY16" s="275"/>
      <c r="AZ16" s="277"/>
      <c r="BA16" s="277"/>
      <c r="BB16" s="277"/>
      <c r="BC16" s="278"/>
      <c r="BD16" s="278"/>
      <c r="BE16" s="278"/>
      <c r="BF16" s="278"/>
      <c r="CD16" s="133"/>
      <c r="CG16" s="414" t="s">
        <v>323</v>
      </c>
    </row>
    <row r="17" spans="2:85" ht="3.95" customHeight="1" x14ac:dyDescent="0.2">
      <c r="B17" s="280"/>
      <c r="C17" s="135"/>
      <c r="D17" s="135"/>
      <c r="E17" s="135"/>
      <c r="F17" s="135"/>
      <c r="G17" s="135"/>
      <c r="H17" s="135"/>
      <c r="I17" s="135"/>
      <c r="J17" s="135"/>
      <c r="K17" s="135"/>
      <c r="L17" s="135"/>
      <c r="M17" s="135"/>
      <c r="N17" s="135"/>
      <c r="O17" s="135"/>
      <c r="P17" s="135"/>
      <c r="Q17" s="135"/>
      <c r="R17" s="135"/>
      <c r="S17" s="135"/>
      <c r="T17" s="135"/>
      <c r="U17" s="135"/>
      <c r="V17" s="135"/>
      <c r="W17" s="135"/>
      <c r="X17" s="135"/>
      <c r="Y17" s="135"/>
      <c r="Z17" s="135"/>
      <c r="AA17" s="135"/>
      <c r="AB17" s="135"/>
      <c r="AC17" s="135"/>
      <c r="AD17" s="135"/>
      <c r="AE17" s="135"/>
      <c r="AF17" s="135"/>
      <c r="AG17" s="135"/>
      <c r="AH17" s="135"/>
      <c r="AI17" s="135"/>
      <c r="AJ17" s="135"/>
      <c r="AK17" s="135"/>
      <c r="AL17" s="135"/>
      <c r="AM17" s="135"/>
      <c r="AN17" s="135"/>
      <c r="AO17" s="135"/>
      <c r="AP17" s="135"/>
      <c r="AQ17" s="135"/>
      <c r="AR17" s="135"/>
      <c r="AS17" s="135"/>
      <c r="AT17" s="135"/>
      <c r="AU17" s="135"/>
      <c r="AV17" s="135"/>
      <c r="AW17" s="135"/>
      <c r="AX17" s="135"/>
      <c r="AY17" s="135"/>
      <c r="AZ17" s="135"/>
      <c r="BA17" s="135"/>
      <c r="BB17" s="135"/>
      <c r="BC17" s="135"/>
      <c r="BD17" s="135"/>
      <c r="BE17" s="135"/>
      <c r="BF17" s="135"/>
      <c r="BG17" s="135"/>
      <c r="BH17" s="135"/>
      <c r="BI17" s="135"/>
      <c r="BJ17" s="135"/>
      <c r="BK17" s="135"/>
      <c r="BL17" s="135"/>
      <c r="BM17" s="135"/>
      <c r="BN17" s="135"/>
      <c r="BO17" s="135"/>
      <c r="BP17" s="135"/>
      <c r="BQ17" s="135"/>
      <c r="BR17" s="135"/>
      <c r="BS17" s="135"/>
      <c r="BT17" s="135"/>
      <c r="BU17" s="135"/>
      <c r="BV17" s="135"/>
      <c r="BW17" s="135"/>
      <c r="BX17" s="135"/>
      <c r="BY17" s="135"/>
      <c r="BZ17" s="135"/>
      <c r="CA17" s="135"/>
      <c r="CB17" s="135"/>
      <c r="CC17" s="135"/>
      <c r="CD17" s="136"/>
    </row>
    <row r="18" spans="2:85" x14ac:dyDescent="0.2">
      <c r="B18" s="145" t="s">
        <v>12</v>
      </c>
      <c r="C18" s="271"/>
      <c r="D18" s="271"/>
      <c r="E18" s="271"/>
      <c r="F18" s="271"/>
      <c r="G18" s="131"/>
      <c r="H18" s="131"/>
      <c r="I18" s="131"/>
      <c r="J18" s="131"/>
      <c r="K18" s="131"/>
      <c r="L18" s="266"/>
      <c r="M18" s="266"/>
      <c r="N18" s="266"/>
      <c r="O18" s="266"/>
      <c r="P18" s="266"/>
      <c r="Q18" s="266"/>
      <c r="R18" s="131"/>
      <c r="S18" s="267"/>
      <c r="T18" s="267"/>
      <c r="U18" s="267"/>
      <c r="V18" s="267"/>
      <c r="W18" s="267"/>
      <c r="X18" s="267"/>
      <c r="Y18" s="278"/>
      <c r="Z18" s="278"/>
      <c r="AA18" s="278"/>
      <c r="AB18" s="278"/>
      <c r="AC18" s="278"/>
      <c r="AD18" s="278"/>
      <c r="AF18" s="270"/>
      <c r="AG18" s="270"/>
      <c r="AH18" s="270"/>
      <c r="AI18" s="270"/>
      <c r="AJ18" s="270"/>
      <c r="AK18" s="270"/>
      <c r="AL18" s="272"/>
      <c r="AM18" s="272"/>
      <c r="AQ18" s="273"/>
      <c r="AR18" s="273"/>
      <c r="AS18" s="273"/>
      <c r="AT18" s="273"/>
      <c r="AU18" s="273"/>
      <c r="AV18" s="273"/>
      <c r="AW18" s="274"/>
      <c r="AX18" s="274"/>
      <c r="AY18" s="274"/>
      <c r="AZ18" s="274"/>
      <c r="BA18" s="274"/>
      <c r="BB18" s="274"/>
      <c r="BC18" s="276"/>
      <c r="BD18" s="276"/>
      <c r="BE18" s="276"/>
      <c r="BF18" s="276"/>
      <c r="BG18" s="276"/>
      <c r="BH18" s="277"/>
      <c r="BI18" s="277"/>
      <c r="BJ18" s="277"/>
      <c r="BK18" s="277"/>
      <c r="CD18" s="133"/>
    </row>
    <row r="19" spans="2:85" ht="10.5" customHeight="1" thickBot="1" x14ac:dyDescent="0.25">
      <c r="B19" s="138"/>
      <c r="C19" s="139"/>
      <c r="D19" s="139"/>
      <c r="E19" s="139"/>
      <c r="F19" s="139"/>
      <c r="G19" s="139"/>
      <c r="H19" s="139"/>
      <c r="I19" s="139"/>
      <c r="J19" s="139"/>
      <c r="K19" s="139"/>
      <c r="L19" s="139"/>
      <c r="M19" s="139"/>
      <c r="N19" s="139"/>
      <c r="O19" s="139"/>
      <c r="P19" s="139"/>
      <c r="Q19" s="139"/>
      <c r="R19" s="139"/>
      <c r="S19" s="139"/>
      <c r="T19" s="139"/>
      <c r="U19" s="139"/>
      <c r="V19" s="139"/>
      <c r="W19" s="139"/>
      <c r="X19" s="139"/>
      <c r="Y19" s="139"/>
      <c r="Z19" s="139"/>
      <c r="AA19" s="139"/>
      <c r="AB19" s="139"/>
      <c r="AC19" s="139"/>
      <c r="AD19" s="139"/>
      <c r="AE19" s="139"/>
      <c r="AF19" s="139"/>
      <c r="AG19" s="139"/>
      <c r="AH19" s="139"/>
      <c r="AI19" s="139"/>
      <c r="AJ19" s="139"/>
      <c r="AK19" s="139"/>
      <c r="AL19" s="139"/>
      <c r="AM19" s="139"/>
      <c r="AN19" s="139"/>
      <c r="AO19" s="139"/>
      <c r="AP19" s="139"/>
      <c r="AQ19" s="139"/>
      <c r="AR19" s="139"/>
      <c r="AS19" s="139"/>
      <c r="AT19" s="139"/>
      <c r="AU19" s="139"/>
      <c r="AV19" s="139"/>
      <c r="AW19" s="139"/>
      <c r="AX19" s="139"/>
      <c r="AY19" s="139"/>
      <c r="AZ19" s="139"/>
      <c r="BA19" s="139"/>
      <c r="BB19" s="139"/>
      <c r="BC19" s="139"/>
      <c r="BD19" s="139"/>
      <c r="BE19" s="139"/>
      <c r="BF19" s="139"/>
      <c r="BG19" s="139"/>
      <c r="BH19" s="139"/>
      <c r="BI19" s="139"/>
      <c r="BJ19" s="139"/>
      <c r="BK19" s="139"/>
      <c r="BL19" s="139"/>
      <c r="BM19" s="139"/>
      <c r="BN19" s="139"/>
      <c r="BO19" s="139"/>
      <c r="BP19" s="139"/>
      <c r="BQ19" s="139"/>
      <c r="BR19" s="139"/>
      <c r="BS19" s="139"/>
      <c r="BT19" s="139"/>
      <c r="BU19" s="139"/>
      <c r="BV19" s="139"/>
      <c r="BW19" s="139"/>
      <c r="BX19" s="139"/>
      <c r="BY19" s="139"/>
      <c r="BZ19" s="139"/>
      <c r="CA19" s="139"/>
      <c r="CB19" s="139"/>
      <c r="CC19" s="139"/>
      <c r="CD19" s="140"/>
    </row>
    <row r="20" spans="2:85" ht="13.5" thickBot="1" x14ac:dyDescent="0.25"/>
    <row r="21" spans="2:85" ht="15.75" thickBot="1" x14ac:dyDescent="0.25">
      <c r="B21" s="122" t="s">
        <v>6</v>
      </c>
      <c r="C21" s="123"/>
      <c r="D21" s="123"/>
      <c r="E21" s="123"/>
      <c r="F21" s="123"/>
      <c r="G21" s="123"/>
      <c r="H21" s="123"/>
      <c r="I21" s="123"/>
      <c r="J21" s="123"/>
      <c r="K21" s="123"/>
      <c r="L21" s="123"/>
      <c r="M21" s="123"/>
      <c r="N21" s="123"/>
      <c r="O21" s="123"/>
      <c r="P21" s="123"/>
      <c r="Q21" s="123"/>
      <c r="R21" s="123"/>
      <c r="S21" s="123"/>
      <c r="T21" s="123"/>
      <c r="U21" s="123"/>
      <c r="V21" s="123"/>
      <c r="W21" s="123"/>
      <c r="X21" s="123"/>
      <c r="Y21" s="123"/>
      <c r="Z21" s="123"/>
      <c r="AA21" s="123"/>
      <c r="AB21" s="123"/>
      <c r="AC21" s="123"/>
      <c r="AD21" s="123"/>
      <c r="AE21" s="123"/>
      <c r="AF21" s="123"/>
      <c r="AG21" s="123"/>
      <c r="AH21" s="123"/>
      <c r="AI21" s="123"/>
      <c r="AJ21" s="123"/>
      <c r="AK21" s="123"/>
      <c r="AL21" s="123"/>
      <c r="AM21" s="123"/>
      <c r="AN21" s="123"/>
      <c r="AO21" s="123"/>
      <c r="AP21" s="123"/>
      <c r="AQ21" s="123"/>
      <c r="AR21" s="123"/>
      <c r="AS21" s="123"/>
      <c r="AT21" s="123"/>
      <c r="AU21" s="123"/>
      <c r="AV21" s="123"/>
      <c r="AW21" s="123"/>
      <c r="AX21" s="123"/>
      <c r="AY21" s="123"/>
      <c r="AZ21" s="123"/>
      <c r="BA21" s="123"/>
      <c r="BB21" s="123"/>
      <c r="BC21" s="123"/>
      <c r="BD21" s="123"/>
      <c r="BE21" s="123"/>
      <c r="BF21" s="123"/>
      <c r="BG21" s="123"/>
      <c r="BH21" s="123"/>
      <c r="BI21" s="123"/>
      <c r="BJ21" s="123"/>
      <c r="BK21" s="123"/>
      <c r="BL21" s="123"/>
      <c r="BM21" s="123"/>
      <c r="BN21" s="123"/>
      <c r="BO21" s="123"/>
      <c r="BP21" s="123"/>
      <c r="BQ21" s="123"/>
      <c r="BR21" s="123"/>
      <c r="BS21" s="123"/>
      <c r="BT21" s="123"/>
      <c r="BU21" s="123"/>
      <c r="BV21" s="123"/>
      <c r="BW21" s="123"/>
      <c r="BX21" s="123"/>
      <c r="BY21" s="123"/>
      <c r="BZ21" s="123"/>
      <c r="CA21" s="123"/>
      <c r="CB21" s="123"/>
      <c r="CC21" s="123"/>
      <c r="CD21" s="125"/>
    </row>
    <row r="22" spans="2:85" ht="13.5" thickBot="1" x14ac:dyDescent="0.25">
      <c r="B22" s="378"/>
      <c r="C22" s="379">
        <f>C$11</f>
        <v>1</v>
      </c>
      <c r="D22" s="380"/>
      <c r="E22" s="381">
        <f>E$11</f>
        <v>2</v>
      </c>
      <c r="F22" s="419"/>
      <c r="G22" s="452">
        <f>G$11</f>
        <v>3</v>
      </c>
      <c r="H22" s="419"/>
      <c r="I22" s="452">
        <f>I$11</f>
        <v>4</v>
      </c>
      <c r="J22" s="419"/>
      <c r="K22" s="452">
        <f>K$11</f>
        <v>5</v>
      </c>
      <c r="L22" s="419"/>
      <c r="M22" s="452">
        <f>M$11</f>
        <v>6</v>
      </c>
      <c r="N22" s="419"/>
      <c r="O22" s="452">
        <f>O$11</f>
        <v>7</v>
      </c>
      <c r="P22" s="419"/>
      <c r="Q22" s="452">
        <f>Q$11</f>
        <v>8</v>
      </c>
      <c r="R22" s="419"/>
      <c r="S22" s="452">
        <f>S$11</f>
        <v>9</v>
      </c>
      <c r="T22" s="419"/>
      <c r="U22" s="452">
        <f>U$11</f>
        <v>10</v>
      </c>
      <c r="V22" s="419"/>
      <c r="W22" s="452">
        <f>W$11</f>
        <v>11</v>
      </c>
      <c r="X22" s="419"/>
      <c r="Y22" s="452">
        <f>Y$11</f>
        <v>12</v>
      </c>
      <c r="Z22" s="419"/>
      <c r="AA22" s="452">
        <f>AA$11</f>
        <v>13</v>
      </c>
      <c r="AB22" s="419"/>
      <c r="AC22" s="452">
        <f>AC$11</f>
        <v>14</v>
      </c>
      <c r="AD22" s="419"/>
      <c r="AE22" s="452">
        <f>AE$11</f>
        <v>15</v>
      </c>
      <c r="AF22" s="419"/>
      <c r="AG22" s="452">
        <f>AG$11</f>
        <v>16</v>
      </c>
      <c r="AH22" s="419"/>
      <c r="AI22" s="452">
        <f>AI$11</f>
        <v>17</v>
      </c>
      <c r="AJ22" s="419"/>
      <c r="AK22" s="452">
        <f>AK$11</f>
        <v>18</v>
      </c>
      <c r="AL22" s="419"/>
      <c r="AM22" s="452">
        <f>AM$11</f>
        <v>19</v>
      </c>
      <c r="AN22" s="419"/>
      <c r="AO22" s="452">
        <f>AO$11</f>
        <v>20</v>
      </c>
      <c r="AP22" s="419"/>
      <c r="AQ22" s="452">
        <f>AQ$11</f>
        <v>21</v>
      </c>
      <c r="AR22" s="419"/>
      <c r="AS22" s="452">
        <f>AS$11</f>
        <v>22</v>
      </c>
      <c r="AT22" s="419"/>
      <c r="AU22" s="452">
        <f>AU$11</f>
        <v>23</v>
      </c>
      <c r="AV22" s="419"/>
      <c r="AW22" s="452">
        <f t="shared" ref="AW22:BG22" si="0">AW$11</f>
        <v>24</v>
      </c>
      <c r="AX22" s="419"/>
      <c r="AY22" s="452">
        <f t="shared" si="0"/>
        <v>25</v>
      </c>
      <c r="AZ22" s="419"/>
      <c r="BA22" s="452">
        <f t="shared" si="0"/>
        <v>26</v>
      </c>
      <c r="BB22" s="419"/>
      <c r="BC22" s="452">
        <f t="shared" si="0"/>
        <v>27</v>
      </c>
      <c r="BD22" s="419"/>
      <c r="BE22" s="452">
        <f t="shared" si="0"/>
        <v>28</v>
      </c>
      <c r="BF22" s="419"/>
      <c r="BG22" s="452">
        <f t="shared" si="0"/>
        <v>29</v>
      </c>
      <c r="BH22" s="419"/>
      <c r="BI22" s="452">
        <f>BI$11</f>
        <v>30</v>
      </c>
      <c r="BJ22" s="419"/>
      <c r="BK22" s="452">
        <f t="shared" ref="BK22:CA22" si="1">BK$11</f>
        <v>31</v>
      </c>
      <c r="BL22" s="419"/>
      <c r="BM22" s="452">
        <f t="shared" si="1"/>
        <v>32</v>
      </c>
      <c r="BN22" s="419"/>
      <c r="BO22" s="452">
        <f t="shared" si="1"/>
        <v>33</v>
      </c>
      <c r="BP22" s="419"/>
      <c r="BQ22" s="452">
        <f t="shared" si="1"/>
        <v>34</v>
      </c>
      <c r="BR22" s="419"/>
      <c r="BS22" s="452">
        <f t="shared" si="1"/>
        <v>35</v>
      </c>
      <c r="BT22" s="419"/>
      <c r="BU22" s="452">
        <f t="shared" si="1"/>
        <v>36</v>
      </c>
      <c r="BV22" s="419"/>
      <c r="BW22" s="452">
        <f t="shared" si="1"/>
        <v>37</v>
      </c>
      <c r="BX22" s="419"/>
      <c r="BY22" s="452">
        <f t="shared" si="1"/>
        <v>38</v>
      </c>
      <c r="BZ22" s="419"/>
      <c r="CA22" s="452">
        <f t="shared" si="1"/>
        <v>39</v>
      </c>
      <c r="CB22" s="419"/>
      <c r="CC22" s="452">
        <f>CC$11</f>
        <v>40</v>
      </c>
      <c r="CD22" s="453"/>
    </row>
    <row r="23" spans="2:85" x14ac:dyDescent="0.2">
      <c r="B23" s="383" t="s">
        <v>9</v>
      </c>
      <c r="C23" s="141"/>
      <c r="D23" s="131"/>
      <c r="E23" s="131"/>
      <c r="F23" s="132"/>
      <c r="G23" s="132"/>
      <c r="H23" s="132"/>
      <c r="I23" s="132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275"/>
      <c r="AF23" s="275"/>
      <c r="AG23" s="275"/>
      <c r="AH23" s="132"/>
      <c r="AI23" s="132"/>
      <c r="AJ23" s="132"/>
      <c r="AK23" s="132"/>
      <c r="AL23" s="132"/>
      <c r="AM23" s="273"/>
      <c r="AN23" s="273"/>
      <c r="AO23" s="273"/>
      <c r="AP23" s="273"/>
      <c r="AQ23" s="132"/>
      <c r="AR23" s="270"/>
      <c r="AS23" s="270"/>
      <c r="AT23" s="270"/>
      <c r="AU23" s="270"/>
      <c r="AV23" s="268"/>
      <c r="AW23" s="268"/>
      <c r="AX23" s="268"/>
      <c r="AY23" s="268"/>
      <c r="AZ23" s="268"/>
      <c r="BA23" s="268"/>
      <c r="BB23" s="267"/>
      <c r="BC23" s="267"/>
      <c r="BD23" s="267"/>
      <c r="BE23" s="267"/>
      <c r="BF23" s="267"/>
      <c r="BG23" s="132"/>
      <c r="BH23" s="132"/>
      <c r="BI23" s="132"/>
      <c r="BJ23" s="266"/>
      <c r="BK23" s="266"/>
      <c r="BL23" s="266"/>
      <c r="BM23" s="266"/>
      <c r="BN23" s="132"/>
      <c r="BO23" s="132"/>
      <c r="BP23" s="132"/>
      <c r="BQ23" s="132"/>
      <c r="BR23" s="132"/>
      <c r="BS23" s="132"/>
      <c r="BT23" s="132"/>
      <c r="BU23" s="132"/>
      <c r="BV23" s="454"/>
      <c r="BW23" s="454"/>
      <c r="BX23" s="454"/>
      <c r="BY23" s="132"/>
      <c r="BZ23" s="132"/>
      <c r="CA23" s="132"/>
      <c r="CB23" s="132"/>
      <c r="CC23" s="132"/>
      <c r="CD23" s="143"/>
      <c r="CG23" s="583" t="s">
        <v>323</v>
      </c>
    </row>
    <row r="24" spans="2:85" ht="3.95" customHeight="1" x14ac:dyDescent="0.2">
      <c r="B24" s="280"/>
      <c r="C24" s="135"/>
      <c r="D24" s="135"/>
      <c r="E24" s="135"/>
      <c r="F24" s="135"/>
      <c r="G24" s="135"/>
      <c r="H24" s="135"/>
      <c r="I24" s="135"/>
      <c r="J24" s="135"/>
      <c r="K24" s="135"/>
      <c r="L24" s="135"/>
      <c r="M24" s="135"/>
      <c r="N24" s="135"/>
      <c r="O24" s="135"/>
      <c r="P24" s="135"/>
      <c r="Q24" s="135"/>
      <c r="R24" s="135"/>
      <c r="S24" s="135"/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135"/>
      <c r="AG24" s="135"/>
      <c r="AH24" s="135"/>
      <c r="AI24" s="135"/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135"/>
      <c r="AW24" s="135"/>
      <c r="AX24" s="135"/>
      <c r="AY24" s="135"/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135"/>
      <c r="BM24" s="135"/>
      <c r="BN24" s="135"/>
      <c r="BO24" s="135"/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135"/>
      <c r="CC24" s="135"/>
      <c r="CD24" s="136"/>
    </row>
    <row r="25" spans="2:85" x14ac:dyDescent="0.2">
      <c r="B25" s="145" t="s">
        <v>10</v>
      </c>
      <c r="AF25" s="276"/>
      <c r="AG25" s="276"/>
      <c r="AH25" s="276"/>
      <c r="AI25" s="276"/>
      <c r="AJ25" s="276"/>
      <c r="AK25" s="276"/>
      <c r="AT25" s="131"/>
      <c r="AU25" s="131"/>
      <c r="AV25" s="131"/>
      <c r="AW25" s="131"/>
      <c r="AX25" s="131"/>
      <c r="AY25" s="131"/>
      <c r="BF25" s="270"/>
      <c r="BG25" s="270"/>
      <c r="BH25" s="270"/>
      <c r="BI25" s="270"/>
      <c r="BJ25" s="270"/>
      <c r="BK25" s="270"/>
      <c r="BL25" s="270"/>
      <c r="BR25" s="268"/>
      <c r="BS25" s="268"/>
      <c r="BT25" s="268"/>
      <c r="BU25" s="268"/>
      <c r="BV25" s="268"/>
      <c r="BW25" s="265"/>
      <c r="BX25" s="265"/>
      <c r="BY25" s="265"/>
      <c r="BZ25" s="265"/>
      <c r="CA25" s="265"/>
      <c r="CB25" s="265"/>
      <c r="CC25" s="265"/>
      <c r="CD25" s="265"/>
      <c r="CG25" s="414"/>
    </row>
    <row r="26" spans="2:85" ht="3.95" customHeight="1" x14ac:dyDescent="0.2">
      <c r="B26" s="280"/>
      <c r="C26" s="135"/>
      <c r="D26" s="135"/>
      <c r="E26" s="135"/>
      <c r="F26" s="135"/>
      <c r="G26" s="135"/>
      <c r="H26" s="135"/>
      <c r="I26" s="135"/>
      <c r="J26" s="135"/>
      <c r="K26" s="135"/>
      <c r="L26" s="135"/>
      <c r="M26" s="135"/>
      <c r="N26" s="135"/>
      <c r="O26" s="135"/>
      <c r="P26" s="135"/>
      <c r="Q26" s="135"/>
      <c r="R26" s="135"/>
      <c r="S26" s="135"/>
      <c r="T26" s="135"/>
      <c r="U26" s="135"/>
      <c r="V26" s="135"/>
      <c r="W26" s="135"/>
      <c r="X26" s="135"/>
      <c r="Y26" s="135"/>
      <c r="Z26" s="135"/>
      <c r="AA26" s="135"/>
      <c r="AB26" s="135"/>
      <c r="AC26" s="135"/>
      <c r="AD26" s="135"/>
      <c r="AE26" s="135"/>
      <c r="AF26" s="135"/>
      <c r="AG26" s="135"/>
      <c r="AH26" s="135"/>
      <c r="AI26" s="135"/>
      <c r="AJ26" s="135"/>
      <c r="AK26" s="135"/>
      <c r="AL26" s="135"/>
      <c r="AM26" s="135"/>
      <c r="AN26" s="135"/>
      <c r="AO26" s="135"/>
      <c r="AP26" s="135"/>
      <c r="AQ26" s="135"/>
      <c r="AR26" s="135"/>
      <c r="AS26" s="135"/>
      <c r="AT26" s="135"/>
      <c r="AU26" s="135"/>
      <c r="AV26" s="135"/>
      <c r="AW26" s="135"/>
      <c r="AX26" s="135"/>
      <c r="AY26" s="135"/>
      <c r="AZ26" s="135"/>
      <c r="BA26" s="135"/>
      <c r="BB26" s="135"/>
      <c r="BC26" s="135"/>
      <c r="BD26" s="135"/>
      <c r="BE26" s="135"/>
      <c r="BF26" s="135"/>
      <c r="BG26" s="135"/>
      <c r="BH26" s="135"/>
      <c r="BI26" s="135"/>
      <c r="BJ26" s="135"/>
      <c r="BK26" s="135"/>
      <c r="BL26" s="135"/>
      <c r="BM26" s="135"/>
      <c r="BN26" s="135"/>
      <c r="BO26" s="135"/>
      <c r="BP26" s="135"/>
      <c r="BQ26" s="135"/>
      <c r="BR26" s="135"/>
      <c r="BS26" s="135"/>
      <c r="BT26" s="135"/>
      <c r="BU26" s="135"/>
      <c r="BV26" s="135"/>
      <c r="BW26" s="135"/>
      <c r="BX26" s="135"/>
      <c r="BY26" s="135"/>
      <c r="BZ26" s="135"/>
      <c r="CA26" s="135"/>
      <c r="CB26" s="135"/>
      <c r="CC26" s="135"/>
      <c r="CD26" s="136"/>
    </row>
    <row r="27" spans="2:85" x14ac:dyDescent="0.2">
      <c r="B27" s="145" t="s">
        <v>11</v>
      </c>
      <c r="Z27" s="131"/>
      <c r="AA27" s="278"/>
      <c r="AB27" s="278"/>
      <c r="AC27" s="278"/>
      <c r="AD27" s="278"/>
      <c r="AE27" s="277"/>
      <c r="AF27" s="277"/>
      <c r="AG27" s="277"/>
      <c r="AH27" s="275"/>
      <c r="AI27" s="275"/>
      <c r="AJ27" s="275"/>
      <c r="AK27" s="275"/>
      <c r="AL27" s="274"/>
      <c r="AM27" s="274"/>
      <c r="AN27" s="274"/>
      <c r="AO27" s="274"/>
      <c r="AP27" s="274"/>
      <c r="AQ27" s="273"/>
      <c r="AR27" s="273"/>
      <c r="AS27" s="273"/>
      <c r="AT27" s="273"/>
      <c r="AU27" s="273"/>
      <c r="AV27" s="273"/>
      <c r="AW27" s="272"/>
      <c r="AX27" s="272"/>
      <c r="AY27" s="272"/>
      <c r="AZ27" s="272"/>
      <c r="BA27" s="271"/>
      <c r="BB27" s="271"/>
      <c r="BC27" s="271"/>
      <c r="BD27" s="271"/>
      <c r="BE27" s="271"/>
      <c r="BF27" s="271"/>
      <c r="BG27" s="267"/>
      <c r="BH27" s="267"/>
      <c r="BI27" s="267"/>
      <c r="BJ27" s="267"/>
      <c r="BK27" s="267"/>
      <c r="BL27" s="267"/>
      <c r="BM27" s="267"/>
      <c r="BN27" s="266"/>
      <c r="BO27" s="266"/>
      <c r="BP27" s="266"/>
      <c r="BQ27" s="266"/>
      <c r="BR27" s="266"/>
      <c r="BS27" s="265"/>
      <c r="BT27" s="265"/>
      <c r="BU27" s="265"/>
      <c r="BV27" s="265"/>
      <c r="BY27" s="269"/>
      <c r="BZ27" s="269"/>
      <c r="CA27" s="269"/>
      <c r="CB27" s="269"/>
      <c r="CC27" s="269"/>
      <c r="CD27" s="269"/>
    </row>
    <row r="28" spans="2:85" ht="3.95" customHeight="1" x14ac:dyDescent="0.2">
      <c r="B28" s="280"/>
      <c r="C28" s="135"/>
      <c r="D28" s="135"/>
      <c r="E28" s="135"/>
      <c r="F28" s="135"/>
      <c r="G28" s="135"/>
      <c r="H28" s="135"/>
      <c r="I28" s="135"/>
      <c r="J28" s="135"/>
      <c r="K28" s="135"/>
      <c r="L28" s="135"/>
      <c r="M28" s="135"/>
      <c r="N28" s="135"/>
      <c r="O28" s="135"/>
      <c r="P28" s="135"/>
      <c r="Q28" s="135"/>
      <c r="R28" s="135"/>
      <c r="S28" s="135"/>
      <c r="T28" s="135"/>
      <c r="U28" s="135"/>
      <c r="V28" s="135"/>
      <c r="W28" s="135"/>
      <c r="X28" s="135"/>
      <c r="Y28" s="135"/>
      <c r="Z28" s="135"/>
      <c r="AA28" s="135"/>
      <c r="AB28" s="135"/>
      <c r="AC28" s="135"/>
      <c r="AD28" s="135"/>
      <c r="AE28" s="135"/>
      <c r="AF28" s="135"/>
      <c r="AG28" s="135"/>
      <c r="AH28" s="135"/>
      <c r="AI28" s="135"/>
      <c r="AJ28" s="135"/>
      <c r="AK28" s="135"/>
      <c r="AL28" s="135"/>
      <c r="AM28" s="135"/>
      <c r="AN28" s="135"/>
      <c r="AO28" s="135"/>
      <c r="AP28" s="135"/>
      <c r="AQ28" s="135"/>
      <c r="AR28" s="135"/>
      <c r="AS28" s="135"/>
      <c r="AT28" s="135"/>
      <c r="AU28" s="135"/>
      <c r="AV28" s="135"/>
      <c r="AW28" s="135"/>
      <c r="AX28" s="135"/>
      <c r="AY28" s="135"/>
      <c r="AZ28" s="135"/>
      <c r="BA28" s="135"/>
      <c r="BB28" s="135"/>
      <c r="BC28" s="135"/>
      <c r="BD28" s="135"/>
      <c r="BE28" s="135"/>
      <c r="BF28" s="135"/>
      <c r="BG28" s="135"/>
      <c r="BH28" s="135"/>
      <c r="BI28" s="135"/>
      <c r="BJ28" s="135"/>
      <c r="BK28" s="135"/>
      <c r="BL28" s="135"/>
      <c r="BM28" s="135"/>
      <c r="BN28" s="135"/>
      <c r="BO28" s="135"/>
      <c r="BP28" s="135"/>
      <c r="BQ28" s="135"/>
      <c r="BR28" s="135"/>
      <c r="BS28" s="135"/>
      <c r="BT28" s="135"/>
      <c r="BU28" s="135"/>
      <c r="BV28" s="135"/>
      <c r="BW28" s="135"/>
      <c r="BX28" s="135"/>
      <c r="BY28" s="135"/>
      <c r="BZ28" s="135"/>
      <c r="CA28" s="135"/>
      <c r="CB28" s="135"/>
      <c r="CC28" s="135"/>
      <c r="CD28" s="136"/>
    </row>
    <row r="29" spans="2:85" x14ac:dyDescent="0.2">
      <c r="B29" s="145" t="s">
        <v>12</v>
      </c>
      <c r="I29" s="131"/>
      <c r="J29" s="131"/>
      <c r="K29" s="131"/>
      <c r="L29" s="131"/>
      <c r="M29" s="131"/>
      <c r="T29" s="131"/>
      <c r="U29" s="278"/>
      <c r="V29" s="278"/>
      <c r="W29" s="278"/>
      <c r="X29" s="278"/>
      <c r="Y29" s="278"/>
      <c r="Z29" s="278"/>
      <c r="AC29" s="131"/>
      <c r="AD29" s="131"/>
      <c r="AE29" s="131"/>
      <c r="AF29" s="131"/>
      <c r="AL29" s="276"/>
      <c r="AM29" s="276"/>
      <c r="AN29" s="276"/>
      <c r="AO29" s="276"/>
      <c r="AP29" s="276"/>
      <c r="AQ29" s="274"/>
      <c r="AR29" s="274"/>
      <c r="AS29" s="274"/>
      <c r="AT29" s="274"/>
      <c r="AU29" s="274"/>
      <c r="AV29" s="274"/>
      <c r="AW29" s="271"/>
      <c r="AX29" s="271"/>
      <c r="AY29" s="271"/>
      <c r="AZ29" s="271"/>
      <c r="BA29" s="277"/>
      <c r="BB29" s="277"/>
      <c r="BC29" s="277"/>
      <c r="BD29" s="277"/>
      <c r="BE29" s="273"/>
      <c r="BF29" s="273"/>
      <c r="BG29" s="273"/>
      <c r="BH29" s="273"/>
      <c r="BI29" s="273"/>
      <c r="BJ29" s="273"/>
      <c r="BK29" s="272"/>
      <c r="BL29" s="272"/>
      <c r="BM29" s="270"/>
      <c r="BN29" s="270"/>
      <c r="BO29" s="270"/>
      <c r="BP29" s="270"/>
      <c r="BQ29" s="270"/>
      <c r="BR29" s="270"/>
      <c r="BS29" s="267"/>
      <c r="BT29" s="267"/>
      <c r="BU29" s="267"/>
      <c r="BV29" s="267"/>
      <c r="BW29" s="267"/>
      <c r="BX29" s="267"/>
      <c r="BY29" s="266"/>
      <c r="BZ29" s="266"/>
      <c r="CA29" s="266"/>
      <c r="CB29" s="266"/>
      <c r="CC29" s="266"/>
      <c r="CD29" s="266"/>
    </row>
    <row r="30" spans="2:85" ht="3.95" customHeight="1" thickBot="1" x14ac:dyDescent="0.25">
      <c r="B30" s="384"/>
      <c r="C30" s="139"/>
      <c r="D30" s="139"/>
      <c r="E30" s="139"/>
      <c r="F30" s="139"/>
      <c r="G30" s="139"/>
      <c r="H30" s="139"/>
      <c r="I30" s="139"/>
      <c r="J30" s="139"/>
      <c r="K30" s="139"/>
      <c r="L30" s="139"/>
      <c r="M30" s="139"/>
      <c r="N30" s="139"/>
      <c r="O30" s="139"/>
      <c r="P30" s="139"/>
      <c r="Q30" s="139"/>
      <c r="R30" s="139"/>
      <c r="S30" s="139"/>
      <c r="T30" s="139"/>
      <c r="U30" s="139"/>
      <c r="V30" s="139"/>
      <c r="W30" s="139"/>
      <c r="X30" s="139"/>
      <c r="Y30" s="139"/>
      <c r="Z30" s="139"/>
      <c r="AA30" s="139"/>
      <c r="AB30" s="139"/>
      <c r="AC30" s="139"/>
      <c r="AD30" s="139"/>
      <c r="AE30" s="139"/>
      <c r="AF30" s="139"/>
      <c r="AG30" s="139"/>
      <c r="AH30" s="139"/>
      <c r="AI30" s="139"/>
      <c r="AJ30" s="139"/>
      <c r="AK30" s="139"/>
      <c r="AL30" s="139"/>
      <c r="AM30" s="139"/>
      <c r="AN30" s="139"/>
      <c r="AO30" s="139"/>
      <c r="AP30" s="139"/>
      <c r="AQ30" s="139"/>
      <c r="AR30" s="139"/>
      <c r="AS30" s="139"/>
      <c r="AT30" s="139"/>
      <c r="AU30" s="139"/>
      <c r="AV30" s="139"/>
      <c r="AW30" s="139"/>
      <c r="AX30" s="139"/>
      <c r="AY30" s="139"/>
      <c r="AZ30" s="139"/>
      <c r="BA30" s="139"/>
      <c r="BB30" s="139"/>
      <c r="BC30" s="139"/>
      <c r="BD30" s="139"/>
      <c r="BE30" s="139"/>
      <c r="BF30" s="139"/>
      <c r="BG30" s="139"/>
      <c r="BH30" s="139"/>
      <c r="BI30" s="139"/>
      <c r="BJ30" s="139"/>
      <c r="BK30" s="139"/>
      <c r="BL30" s="139"/>
      <c r="BM30" s="139"/>
      <c r="BN30" s="139"/>
      <c r="BO30" s="139"/>
      <c r="BP30" s="139"/>
      <c r="BQ30" s="139"/>
      <c r="BR30" s="139"/>
      <c r="BS30" s="139"/>
      <c r="BT30" s="139"/>
      <c r="BU30" s="139"/>
      <c r="BV30" s="139"/>
      <c r="BW30" s="139"/>
      <c r="BX30" s="139"/>
      <c r="BY30" s="139"/>
      <c r="BZ30" s="139"/>
      <c r="CA30" s="139"/>
      <c r="CB30" s="139"/>
      <c r="CC30" s="139"/>
      <c r="CD30" s="140"/>
    </row>
    <row r="31" spans="2:85" ht="13.5" thickBot="1" x14ac:dyDescent="0.25"/>
    <row r="32" spans="2:85" ht="15.75" thickBot="1" x14ac:dyDescent="0.25">
      <c r="B32" s="122" t="s">
        <v>27</v>
      </c>
      <c r="C32" s="123"/>
      <c r="D32" s="123"/>
      <c r="E32" s="123"/>
      <c r="F32" s="123"/>
      <c r="G32" s="123"/>
      <c r="H32" s="123"/>
      <c r="I32" s="123"/>
      <c r="J32" s="123"/>
      <c r="K32" s="123"/>
      <c r="L32" s="123"/>
      <c r="M32" s="123"/>
      <c r="N32" s="123"/>
      <c r="O32" s="123"/>
      <c r="P32" s="123"/>
      <c r="Q32" s="123"/>
      <c r="R32" s="123"/>
      <c r="S32" s="123"/>
      <c r="T32" s="123"/>
      <c r="U32" s="123"/>
      <c r="V32" s="123"/>
      <c r="W32" s="123"/>
      <c r="X32" s="123"/>
      <c r="Y32" s="123"/>
      <c r="Z32" s="123"/>
      <c r="AA32" s="123"/>
      <c r="AB32" s="123"/>
      <c r="AC32" s="123"/>
      <c r="AD32" s="123"/>
      <c r="AE32" s="123"/>
      <c r="AF32" s="123"/>
      <c r="AG32" s="123"/>
      <c r="AH32" s="123"/>
      <c r="AI32" s="123"/>
      <c r="AJ32" s="123"/>
      <c r="AK32" s="123"/>
      <c r="AL32" s="123"/>
      <c r="AM32" s="123"/>
      <c r="AN32" s="123"/>
      <c r="AO32" s="123"/>
      <c r="AP32" s="123"/>
      <c r="AQ32" s="123"/>
      <c r="AR32" s="123"/>
      <c r="AS32" s="123"/>
      <c r="AT32" s="123"/>
      <c r="AU32" s="123"/>
      <c r="AV32" s="123"/>
      <c r="AW32" s="123"/>
      <c r="AX32" s="123"/>
      <c r="AY32" s="123"/>
      <c r="AZ32" s="123"/>
      <c r="BA32" s="123"/>
      <c r="BB32" s="123"/>
      <c r="BC32" s="123"/>
      <c r="BD32" s="123"/>
      <c r="BE32" s="123"/>
      <c r="BF32" s="123"/>
      <c r="BG32" s="123"/>
      <c r="BH32" s="123"/>
      <c r="BI32" s="123"/>
      <c r="BJ32" s="123"/>
      <c r="BK32" s="123"/>
      <c r="BL32" s="123"/>
      <c r="BM32" s="123"/>
      <c r="BN32" s="123"/>
      <c r="BO32" s="123"/>
      <c r="BP32" s="123"/>
      <c r="BQ32" s="123"/>
      <c r="BR32" s="123"/>
      <c r="BS32" s="123"/>
      <c r="BT32" s="123"/>
      <c r="BU32" s="123"/>
      <c r="BV32" s="123"/>
      <c r="BW32" s="123"/>
      <c r="BX32" s="123"/>
      <c r="BY32" s="123"/>
      <c r="BZ32" s="123"/>
      <c r="CA32" s="123"/>
      <c r="CB32" s="123"/>
      <c r="CC32" s="123"/>
      <c r="CD32" s="125"/>
    </row>
    <row r="33" spans="2:85" ht="13.5" thickBot="1" x14ac:dyDescent="0.25">
      <c r="B33" s="378"/>
      <c r="C33" s="381">
        <f>C$11</f>
        <v>1</v>
      </c>
      <c r="D33" s="380"/>
      <c r="E33" s="381">
        <f>E$11</f>
        <v>2</v>
      </c>
      <c r="F33" s="380"/>
      <c r="G33" s="381">
        <f>G$11</f>
        <v>3</v>
      </c>
      <c r="H33" s="380"/>
      <c r="I33" s="381">
        <f>I$11</f>
        <v>4</v>
      </c>
      <c r="J33" s="380"/>
      <c r="K33" s="381">
        <f>K$11</f>
        <v>5</v>
      </c>
      <c r="L33" s="380"/>
      <c r="M33" s="381">
        <f>M$11</f>
        <v>6</v>
      </c>
      <c r="N33" s="380"/>
      <c r="O33" s="381">
        <f>O$11</f>
        <v>7</v>
      </c>
      <c r="P33" s="380"/>
      <c r="Q33" s="381">
        <f>Q$11</f>
        <v>8</v>
      </c>
      <c r="R33" s="380"/>
      <c r="S33" s="381">
        <f>S$11</f>
        <v>9</v>
      </c>
      <c r="T33" s="380"/>
      <c r="U33" s="381">
        <f>U$11</f>
        <v>10</v>
      </c>
      <c r="V33" s="380"/>
      <c r="W33" s="381">
        <f>W$11</f>
        <v>11</v>
      </c>
      <c r="X33" s="380"/>
      <c r="Y33" s="381">
        <f>Y$11</f>
        <v>12</v>
      </c>
      <c r="Z33" s="380"/>
      <c r="AA33" s="381">
        <f>AA$11</f>
        <v>13</v>
      </c>
      <c r="AB33" s="380"/>
      <c r="AC33" s="381">
        <f>AC$11</f>
        <v>14</v>
      </c>
      <c r="AD33" s="380"/>
      <c r="AE33" s="381">
        <f>AE$11</f>
        <v>15</v>
      </c>
      <c r="AF33" s="380"/>
      <c r="AG33" s="381">
        <f>AG$11</f>
        <v>16</v>
      </c>
      <c r="AH33" s="380"/>
      <c r="AI33" s="381">
        <f>AI$11</f>
        <v>17</v>
      </c>
      <c r="AJ33" s="380"/>
      <c r="AK33" s="381">
        <f>AK$11</f>
        <v>18</v>
      </c>
      <c r="AL33" s="380"/>
      <c r="AM33" s="381">
        <f>AM$11</f>
        <v>19</v>
      </c>
      <c r="AN33" s="380"/>
      <c r="AO33" s="381">
        <f>AO$11</f>
        <v>20</v>
      </c>
      <c r="AP33" s="380"/>
      <c r="AQ33" s="381">
        <f>AQ$11</f>
        <v>21</v>
      </c>
      <c r="AR33" s="380"/>
      <c r="AS33" s="381">
        <f>AS$11</f>
        <v>22</v>
      </c>
      <c r="AT33" s="380"/>
      <c r="AU33" s="381">
        <f>AU$11</f>
        <v>23</v>
      </c>
      <c r="AV33" s="380"/>
      <c r="AW33" s="381">
        <f t="shared" ref="AW33:BG33" si="2">AW$11</f>
        <v>24</v>
      </c>
      <c r="AX33" s="380"/>
      <c r="AY33" s="381">
        <f t="shared" si="2"/>
        <v>25</v>
      </c>
      <c r="AZ33" s="380"/>
      <c r="BA33" s="381">
        <f t="shared" si="2"/>
        <v>26</v>
      </c>
      <c r="BB33" s="380"/>
      <c r="BC33" s="381">
        <f t="shared" si="2"/>
        <v>27</v>
      </c>
      <c r="BD33" s="380"/>
      <c r="BE33" s="381">
        <f t="shared" si="2"/>
        <v>28</v>
      </c>
      <c r="BF33" s="380"/>
      <c r="BG33" s="381">
        <f t="shared" si="2"/>
        <v>29</v>
      </c>
      <c r="BH33" s="380"/>
      <c r="BI33" s="381">
        <f>BI$11</f>
        <v>30</v>
      </c>
      <c r="BJ33" s="419"/>
      <c r="BK33" s="381">
        <f t="shared" ref="BK33:CA33" si="3">BK$11</f>
        <v>31</v>
      </c>
      <c r="BL33" s="380"/>
      <c r="BM33" s="381">
        <f t="shared" si="3"/>
        <v>32</v>
      </c>
      <c r="BN33" s="380"/>
      <c r="BO33" s="381">
        <f t="shared" si="3"/>
        <v>33</v>
      </c>
      <c r="BP33" s="380"/>
      <c r="BQ33" s="381">
        <f t="shared" si="3"/>
        <v>34</v>
      </c>
      <c r="BR33" s="380"/>
      <c r="BS33" s="381">
        <f t="shared" si="3"/>
        <v>35</v>
      </c>
      <c r="BT33" s="380"/>
      <c r="BU33" s="381">
        <f t="shared" si="3"/>
        <v>36</v>
      </c>
      <c r="BV33" s="380"/>
      <c r="BW33" s="381">
        <f t="shared" si="3"/>
        <v>37</v>
      </c>
      <c r="BX33" s="380"/>
      <c r="BY33" s="381">
        <f t="shared" si="3"/>
        <v>38</v>
      </c>
      <c r="BZ33" s="380"/>
      <c r="CA33" s="381">
        <f t="shared" si="3"/>
        <v>39</v>
      </c>
      <c r="CB33" s="380"/>
      <c r="CC33" s="381">
        <f>CC$11</f>
        <v>40</v>
      </c>
      <c r="CD33" s="382"/>
    </row>
    <row r="34" spans="2:85" x14ac:dyDescent="0.2">
      <c r="B34" s="145" t="s">
        <v>9</v>
      </c>
      <c r="C34" s="275"/>
      <c r="D34" s="275"/>
      <c r="E34" s="275"/>
      <c r="F34" s="273"/>
      <c r="G34" s="273"/>
      <c r="H34" s="273"/>
      <c r="I34" s="273"/>
      <c r="J34" s="270"/>
      <c r="K34" s="270"/>
      <c r="L34" s="270"/>
      <c r="M34" s="270"/>
      <c r="N34" s="268"/>
      <c r="O34" s="268"/>
      <c r="P34" s="268"/>
      <c r="Q34" s="268"/>
      <c r="R34" s="268"/>
      <c r="S34" s="268"/>
      <c r="T34" s="267"/>
      <c r="U34" s="267"/>
      <c r="V34" s="267"/>
      <c r="W34" s="267"/>
      <c r="X34" s="267"/>
      <c r="Y34" s="266"/>
      <c r="Z34" s="266"/>
      <c r="AA34" s="266"/>
      <c r="AB34" s="266"/>
      <c r="AC34" s="269"/>
      <c r="AD34" s="269"/>
      <c r="AE34" s="269"/>
      <c r="AF34" s="131"/>
      <c r="AG34" s="131"/>
      <c r="AH34" s="131"/>
      <c r="AI34" s="131"/>
      <c r="AJ34" s="131"/>
      <c r="AK34" s="131"/>
      <c r="AL34" s="132"/>
      <c r="AM34" s="132"/>
      <c r="AN34" s="142"/>
      <c r="AO34" s="132"/>
      <c r="AP34" s="132"/>
      <c r="AQ34" s="132"/>
      <c r="AR34" s="132"/>
      <c r="AS34" s="132"/>
      <c r="AT34" s="132"/>
      <c r="AU34" s="132"/>
      <c r="AV34" s="132"/>
      <c r="AW34" s="132"/>
      <c r="AX34" s="132"/>
      <c r="AY34" s="132"/>
      <c r="AZ34" s="132"/>
      <c r="BA34" s="132"/>
      <c r="BB34" s="132"/>
      <c r="BC34" s="132"/>
      <c r="BD34" s="132"/>
      <c r="BE34" s="132"/>
      <c r="BF34" s="132"/>
      <c r="BG34" s="132"/>
      <c r="BJ34" s="444"/>
      <c r="CD34" s="143"/>
      <c r="CG34" s="414" t="s">
        <v>324</v>
      </c>
    </row>
    <row r="35" spans="2:85" ht="3.95" customHeight="1" x14ac:dyDescent="0.2">
      <c r="B35" s="280"/>
      <c r="C35" s="135"/>
      <c r="D35" s="135"/>
      <c r="E35" s="135"/>
      <c r="F35" s="135"/>
      <c r="G35" s="135"/>
      <c r="H35" s="135"/>
      <c r="I35" s="135"/>
      <c r="J35" s="135"/>
      <c r="K35" s="135"/>
      <c r="L35" s="135"/>
      <c r="M35" s="135"/>
      <c r="N35" s="135"/>
      <c r="O35" s="135"/>
      <c r="P35" s="135"/>
      <c r="Q35" s="135"/>
      <c r="R35" s="135"/>
      <c r="S35" s="135"/>
      <c r="T35" s="135"/>
      <c r="U35" s="135"/>
      <c r="V35" s="135"/>
      <c r="W35" s="135"/>
      <c r="X35" s="135"/>
      <c r="Y35" s="135"/>
      <c r="Z35" s="135"/>
      <c r="AA35" s="135"/>
      <c r="AB35" s="135"/>
      <c r="AC35" s="135"/>
      <c r="AD35" s="135"/>
      <c r="AE35" s="135"/>
      <c r="AF35" s="135"/>
      <c r="AG35" s="135"/>
      <c r="AH35" s="135"/>
      <c r="AI35" s="135"/>
      <c r="AJ35" s="135"/>
      <c r="AK35" s="135"/>
      <c r="AL35" s="135"/>
      <c r="AM35" s="135"/>
      <c r="AN35" s="135"/>
      <c r="AO35" s="135"/>
      <c r="AP35" s="135"/>
      <c r="AQ35" s="135"/>
      <c r="AR35" s="135"/>
      <c r="AS35" s="135"/>
      <c r="AT35" s="135"/>
      <c r="AU35" s="135"/>
      <c r="AV35" s="135"/>
      <c r="AW35" s="135"/>
      <c r="AX35" s="135"/>
      <c r="AY35" s="135"/>
      <c r="AZ35" s="135"/>
      <c r="BA35" s="135"/>
      <c r="BB35" s="135"/>
      <c r="BC35" s="135"/>
      <c r="BD35" s="135"/>
      <c r="BE35" s="135"/>
      <c r="BF35" s="135"/>
      <c r="BG35" s="135"/>
      <c r="BH35" s="135"/>
      <c r="BI35" s="135"/>
      <c r="BJ35" s="434"/>
      <c r="BK35" s="135"/>
      <c r="BL35" s="135"/>
      <c r="BM35" s="135"/>
      <c r="BN35" s="135"/>
      <c r="BO35" s="135"/>
      <c r="BP35" s="135"/>
      <c r="BQ35" s="135"/>
      <c r="BR35" s="135"/>
      <c r="BS35" s="135"/>
      <c r="BT35" s="135"/>
      <c r="BU35" s="135"/>
      <c r="BV35" s="135"/>
      <c r="BW35" s="135"/>
      <c r="BX35" s="135"/>
      <c r="BY35" s="135"/>
      <c r="BZ35" s="135"/>
      <c r="CA35" s="135"/>
      <c r="CB35" s="135"/>
      <c r="CC35" s="135"/>
      <c r="CD35" s="136"/>
    </row>
    <row r="36" spans="2:85" x14ac:dyDescent="0.2">
      <c r="B36" s="145" t="s">
        <v>10</v>
      </c>
      <c r="C36" s="276"/>
      <c r="D36" s="276"/>
      <c r="E36" s="276"/>
      <c r="F36" s="276"/>
      <c r="G36" s="276"/>
      <c r="H36" s="276"/>
      <c r="N36" s="270"/>
      <c r="O36" s="270"/>
      <c r="P36" s="270"/>
      <c r="Q36" s="270"/>
      <c r="R36" s="270"/>
      <c r="S36" s="270"/>
      <c r="T36" s="270"/>
      <c r="U36" s="268"/>
      <c r="V36" s="268"/>
      <c r="W36" s="268"/>
      <c r="X36" s="268"/>
      <c r="Y36" s="268"/>
      <c r="AH36" s="131"/>
      <c r="AI36" s="131"/>
      <c r="AJ36" s="131"/>
      <c r="AK36" s="131"/>
      <c r="AL36" s="131"/>
      <c r="AM36" s="131"/>
      <c r="AN36" s="131"/>
      <c r="AO36" s="131"/>
      <c r="AP36" s="131"/>
      <c r="AQ36" s="131"/>
      <c r="AT36" s="131"/>
      <c r="AU36" s="131"/>
      <c r="AV36" s="131"/>
      <c r="AW36" s="131"/>
      <c r="AX36" s="131"/>
      <c r="AY36" s="131"/>
      <c r="AZ36" s="131"/>
      <c r="BA36" s="131"/>
      <c r="BB36" s="265"/>
      <c r="BC36" s="265"/>
      <c r="BD36" s="265"/>
      <c r="BE36" s="265"/>
      <c r="BF36" s="265"/>
      <c r="BG36" s="265"/>
      <c r="BH36" s="265"/>
      <c r="BI36" s="265"/>
      <c r="BJ36" s="435"/>
      <c r="CD36" s="133"/>
    </row>
    <row r="37" spans="2:85" ht="3.95" customHeight="1" x14ac:dyDescent="0.2">
      <c r="B37" s="280"/>
      <c r="C37" s="135"/>
      <c r="D37" s="135"/>
      <c r="E37" s="135"/>
      <c r="F37" s="135"/>
      <c r="G37" s="135"/>
      <c r="H37" s="135"/>
      <c r="I37" s="135"/>
      <c r="J37" s="135"/>
      <c r="K37" s="135"/>
      <c r="L37" s="135"/>
      <c r="M37" s="135"/>
      <c r="N37" s="135"/>
      <c r="O37" s="135"/>
      <c r="P37" s="135"/>
      <c r="Q37" s="135"/>
      <c r="R37" s="135"/>
      <c r="S37" s="135"/>
      <c r="T37" s="135"/>
      <c r="U37" s="135"/>
      <c r="V37" s="135"/>
      <c r="W37" s="135"/>
      <c r="X37" s="135"/>
      <c r="Y37" s="135"/>
      <c r="Z37" s="135"/>
      <c r="AA37" s="135"/>
      <c r="AB37" s="135"/>
      <c r="AC37" s="135"/>
      <c r="AD37" s="135"/>
      <c r="AE37" s="135"/>
      <c r="AF37" s="135"/>
      <c r="AG37" s="135"/>
      <c r="AH37" s="135"/>
      <c r="AI37" s="135"/>
      <c r="AJ37" s="135"/>
      <c r="AK37" s="135"/>
      <c r="AL37" s="135"/>
      <c r="AM37" s="135"/>
      <c r="AN37" s="135"/>
      <c r="AO37" s="135"/>
      <c r="AP37" s="135"/>
      <c r="AQ37" s="135"/>
      <c r="AR37" s="135"/>
      <c r="AS37" s="135"/>
      <c r="AT37" s="135"/>
      <c r="AU37" s="135"/>
      <c r="AV37" s="135"/>
      <c r="AW37" s="135"/>
      <c r="AX37" s="135"/>
      <c r="AY37" s="135"/>
      <c r="AZ37" s="135"/>
      <c r="BA37" s="135"/>
      <c r="BB37" s="135"/>
      <c r="BC37" s="135"/>
      <c r="BD37" s="135"/>
      <c r="BE37" s="135"/>
      <c r="BF37" s="135"/>
      <c r="BG37" s="135"/>
      <c r="BH37" s="135"/>
      <c r="BI37" s="135"/>
      <c r="BJ37" s="434"/>
      <c r="BK37" s="135"/>
      <c r="BL37" s="135"/>
      <c r="BM37" s="135"/>
      <c r="BN37" s="135"/>
      <c r="BO37" s="135"/>
      <c r="BP37" s="135"/>
      <c r="BQ37" s="135"/>
      <c r="BR37" s="135"/>
      <c r="BS37" s="135"/>
      <c r="BT37" s="135"/>
      <c r="BU37" s="135"/>
      <c r="BV37" s="135"/>
      <c r="BW37" s="135"/>
      <c r="BX37" s="135"/>
      <c r="BY37" s="135"/>
      <c r="BZ37" s="135"/>
      <c r="CA37" s="135"/>
      <c r="CB37" s="135"/>
      <c r="CC37" s="135"/>
      <c r="CD37" s="136"/>
    </row>
    <row r="38" spans="2:85" x14ac:dyDescent="0.2">
      <c r="B38" s="145" t="s">
        <v>11</v>
      </c>
      <c r="C38" s="277"/>
      <c r="D38" s="277"/>
      <c r="E38" s="277"/>
      <c r="I38" s="278"/>
      <c r="J38" s="278"/>
      <c r="K38" s="278"/>
      <c r="L38" s="278"/>
      <c r="M38" s="275"/>
      <c r="N38" s="275"/>
      <c r="O38" s="275"/>
      <c r="P38" s="275"/>
      <c r="Q38" s="274"/>
      <c r="R38" s="274"/>
      <c r="S38" s="274"/>
      <c r="T38" s="274"/>
      <c r="U38" s="274"/>
      <c r="V38" s="273"/>
      <c r="W38" s="273"/>
      <c r="X38" s="273"/>
      <c r="Y38" s="273"/>
      <c r="Z38" s="273"/>
      <c r="AA38" s="273"/>
      <c r="AB38" s="272"/>
      <c r="AC38" s="272"/>
      <c r="AD38" s="272"/>
      <c r="AE38" s="272"/>
      <c r="AF38" s="271"/>
      <c r="AG38" s="271"/>
      <c r="AH38" s="271"/>
      <c r="AI38" s="271"/>
      <c r="AJ38" s="271"/>
      <c r="AK38" s="271"/>
      <c r="AL38" s="267"/>
      <c r="AM38" s="267"/>
      <c r="AN38" s="267"/>
      <c r="AO38" s="267"/>
      <c r="AP38" s="267"/>
      <c r="AQ38" s="267"/>
      <c r="AR38" s="267"/>
      <c r="AS38" s="266"/>
      <c r="AT38" s="266"/>
      <c r="AU38" s="266"/>
      <c r="AV38" s="266"/>
      <c r="AW38" s="266"/>
      <c r="AX38" s="265"/>
      <c r="AY38" s="265"/>
      <c r="AZ38" s="265"/>
      <c r="BA38" s="265"/>
      <c r="BB38" s="269"/>
      <c r="BC38" s="269"/>
      <c r="BD38" s="269"/>
      <c r="BE38" s="269"/>
      <c r="BF38" s="269"/>
      <c r="BG38" s="269"/>
      <c r="BJ38" s="435"/>
    </row>
    <row r="39" spans="2:85" ht="3.95" customHeight="1" thickBot="1" x14ac:dyDescent="0.25">
      <c r="B39" s="280"/>
      <c r="C39" s="135"/>
      <c r="D39" s="135"/>
      <c r="E39" s="135"/>
      <c r="F39" s="135"/>
      <c r="G39" s="135"/>
      <c r="H39" s="135"/>
      <c r="I39" s="135"/>
      <c r="J39" s="135"/>
      <c r="K39" s="135"/>
      <c r="L39" s="135"/>
      <c r="M39" s="135"/>
      <c r="N39" s="135"/>
      <c r="O39" s="135"/>
      <c r="P39" s="135"/>
      <c r="Q39" s="135"/>
      <c r="R39" s="135"/>
      <c r="S39" s="135"/>
      <c r="T39" s="135"/>
      <c r="U39" s="135"/>
      <c r="V39" s="135"/>
      <c r="W39" s="135"/>
      <c r="X39" s="135"/>
      <c r="Y39" s="135"/>
      <c r="Z39" s="135"/>
      <c r="AA39" s="135"/>
      <c r="AB39" s="135"/>
      <c r="AC39" s="135"/>
      <c r="AD39" s="135"/>
      <c r="AE39" s="135"/>
      <c r="AF39" s="135"/>
      <c r="AG39" s="135"/>
      <c r="AH39" s="135"/>
      <c r="AI39" s="135"/>
      <c r="AJ39" s="135"/>
      <c r="AK39" s="135"/>
      <c r="AL39" s="135"/>
      <c r="AM39" s="135"/>
      <c r="AN39" s="135"/>
      <c r="AO39" s="135"/>
      <c r="AP39" s="135"/>
      <c r="AQ39" s="135"/>
      <c r="AR39" s="135"/>
      <c r="AS39" s="135"/>
      <c r="AT39" s="135"/>
      <c r="AU39" s="135"/>
      <c r="AV39" s="135"/>
      <c r="AW39" s="135"/>
      <c r="AX39" s="135"/>
      <c r="AY39" s="135"/>
      <c r="AZ39" s="135"/>
      <c r="BA39" s="135"/>
      <c r="BB39" s="135"/>
      <c r="BC39" s="135"/>
      <c r="BD39" s="135"/>
      <c r="BE39" s="135"/>
      <c r="BF39" s="135"/>
      <c r="BG39" s="135"/>
      <c r="BH39" s="135"/>
      <c r="BI39" s="135"/>
      <c r="BJ39" s="434"/>
      <c r="BK39" s="135"/>
      <c r="BL39" s="135"/>
      <c r="BM39" s="135"/>
      <c r="BN39" s="135"/>
      <c r="BO39" s="135"/>
      <c r="BP39" s="135"/>
      <c r="BQ39" s="135"/>
      <c r="BR39" s="135"/>
      <c r="BS39" s="135"/>
      <c r="BT39" s="135"/>
      <c r="BU39" s="135"/>
      <c r="BV39" s="135"/>
      <c r="BW39" s="135"/>
      <c r="BX39" s="135"/>
      <c r="BY39" s="135"/>
      <c r="BZ39" s="135"/>
      <c r="CA39" s="135"/>
      <c r="CB39" s="135"/>
      <c r="CC39" s="135"/>
      <c r="CD39" s="136"/>
    </row>
    <row r="40" spans="2:85" ht="13.5" thickBot="1" x14ac:dyDescent="0.25">
      <c r="B40" s="145" t="s">
        <v>12</v>
      </c>
      <c r="C40" s="278"/>
      <c r="D40" s="278"/>
      <c r="E40" s="278"/>
      <c r="F40" s="278"/>
      <c r="G40" s="278"/>
      <c r="H40" s="278"/>
      <c r="I40" s="276"/>
      <c r="J40" s="276"/>
      <c r="K40" s="276"/>
      <c r="L40" s="276"/>
      <c r="M40" s="276"/>
      <c r="N40" s="271"/>
      <c r="O40" s="271"/>
      <c r="P40" s="271"/>
      <c r="Q40" s="271"/>
      <c r="R40" s="277"/>
      <c r="S40" s="277"/>
      <c r="T40" s="277"/>
      <c r="U40" s="277"/>
      <c r="V40" s="274"/>
      <c r="W40" s="274"/>
      <c r="X40" s="274"/>
      <c r="Y40" s="274"/>
      <c r="Z40" s="274"/>
      <c r="AA40" s="274"/>
      <c r="AB40" s="273"/>
      <c r="AC40" s="273"/>
      <c r="AD40" s="273"/>
      <c r="AE40" s="273"/>
      <c r="AF40" s="273"/>
      <c r="AG40" s="273"/>
      <c r="AH40" s="272"/>
      <c r="AI40" s="272"/>
      <c r="AJ40" s="270"/>
      <c r="AK40" s="270"/>
      <c r="AL40" s="270"/>
      <c r="AM40" s="270"/>
      <c r="AN40" s="270"/>
      <c r="AO40" s="270"/>
      <c r="AS40" s="267"/>
      <c r="AT40" s="267"/>
      <c r="AU40" s="267"/>
      <c r="AV40" s="267"/>
      <c r="AW40" s="267"/>
      <c r="AX40" s="267"/>
      <c r="AY40" s="584"/>
      <c r="AZ40" s="585"/>
      <c r="BA40" s="587" t="s">
        <v>14</v>
      </c>
      <c r="BB40" s="585"/>
      <c r="BC40" s="585"/>
      <c r="BD40" s="586"/>
      <c r="BE40" s="131"/>
      <c r="BF40" s="131"/>
      <c r="BG40" s="131"/>
      <c r="BH40" s="131"/>
      <c r="BI40" s="131"/>
      <c r="BJ40" s="435"/>
      <c r="BN40" s="131"/>
      <c r="BO40" s="131"/>
      <c r="BP40" s="131"/>
      <c r="BQ40" s="131"/>
      <c r="BR40" s="131"/>
      <c r="BS40" s="131"/>
    </row>
    <row r="41" spans="2:85" ht="3.95" customHeight="1" thickBot="1" x14ac:dyDescent="0.25">
      <c r="B41" s="138"/>
      <c r="C41" s="139"/>
      <c r="D41" s="139"/>
      <c r="E41" s="139"/>
      <c r="F41" s="139"/>
      <c r="G41" s="139"/>
      <c r="H41" s="139"/>
      <c r="I41" s="139"/>
      <c r="J41" s="139"/>
      <c r="K41" s="139"/>
      <c r="L41" s="139"/>
      <c r="M41" s="139"/>
      <c r="N41" s="139"/>
      <c r="O41" s="139"/>
      <c r="P41" s="139"/>
      <c r="Q41" s="139"/>
      <c r="R41" s="139"/>
      <c r="S41" s="139"/>
      <c r="T41" s="139"/>
      <c r="U41" s="139"/>
      <c r="V41" s="139"/>
      <c r="W41" s="139"/>
      <c r="X41" s="139"/>
      <c r="Y41" s="139"/>
      <c r="Z41" s="139"/>
      <c r="AA41" s="139"/>
      <c r="AB41" s="139"/>
      <c r="AC41" s="139"/>
      <c r="AD41" s="139"/>
      <c r="AE41" s="139"/>
      <c r="AF41" s="139"/>
      <c r="AG41" s="139"/>
      <c r="AH41" s="139"/>
      <c r="AI41" s="139"/>
      <c r="AJ41" s="139"/>
      <c r="AK41" s="139"/>
      <c r="AL41" s="139"/>
      <c r="AM41" s="139"/>
      <c r="AN41" s="139"/>
      <c r="AO41" s="139"/>
      <c r="AP41" s="139"/>
      <c r="AQ41" s="139"/>
      <c r="AR41" s="139"/>
      <c r="AS41" s="139"/>
      <c r="AT41" s="139"/>
      <c r="AU41" s="139"/>
      <c r="AV41" s="139"/>
      <c r="AW41" s="139"/>
      <c r="AX41" s="139"/>
      <c r="AY41" s="139"/>
      <c r="AZ41" s="139"/>
      <c r="BA41" s="139"/>
      <c r="BB41" s="139"/>
      <c r="BC41" s="139"/>
      <c r="BD41" s="139"/>
      <c r="BE41" s="139"/>
      <c r="BF41" s="139"/>
      <c r="BG41" s="139"/>
      <c r="BH41" s="139"/>
      <c r="BI41" s="139"/>
      <c r="BJ41" s="139"/>
      <c r="BK41" s="139"/>
      <c r="BL41" s="139"/>
      <c r="BM41" s="139"/>
      <c r="BN41" s="139"/>
      <c r="BO41" s="139"/>
      <c r="BP41" s="139"/>
      <c r="BQ41" s="139"/>
      <c r="BR41" s="139"/>
      <c r="BS41" s="139"/>
      <c r="BT41" s="139"/>
      <c r="BU41" s="139"/>
      <c r="BV41" s="139"/>
      <c r="BW41" s="139"/>
      <c r="BX41" s="139"/>
      <c r="BY41" s="139"/>
      <c r="BZ41" s="139"/>
      <c r="CA41" s="139"/>
      <c r="CB41" s="139"/>
      <c r="CC41" s="139"/>
      <c r="CD41" s="140"/>
    </row>
    <row r="42" spans="2:85" ht="13.5" thickBot="1" x14ac:dyDescent="0.25"/>
    <row r="43" spans="2:85" ht="15.75" thickBot="1" x14ac:dyDescent="0.25">
      <c r="B43" s="122" t="s">
        <v>102</v>
      </c>
      <c r="C43" s="123"/>
      <c r="D43" s="123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23"/>
      <c r="U43" s="123"/>
      <c r="V43" s="123"/>
      <c r="W43" s="123"/>
      <c r="X43" s="123"/>
      <c r="Y43" s="123"/>
      <c r="Z43" s="123"/>
      <c r="AA43" s="123"/>
      <c r="AB43" s="123"/>
      <c r="AC43" s="123"/>
      <c r="AD43" s="123"/>
      <c r="AE43" s="123"/>
      <c r="AF43" s="123"/>
      <c r="AG43" s="123"/>
      <c r="AH43" s="123"/>
      <c r="AI43" s="123"/>
      <c r="AJ43" s="123"/>
      <c r="AK43" s="123"/>
      <c r="AL43" s="123"/>
      <c r="AM43" s="123"/>
      <c r="AN43" s="123"/>
      <c r="AO43" s="123"/>
      <c r="AP43" s="123"/>
      <c r="AQ43" s="123"/>
      <c r="AR43" s="123"/>
      <c r="AS43" s="123"/>
      <c r="AT43" s="123"/>
      <c r="AU43" s="123"/>
      <c r="AV43" s="123"/>
      <c r="AW43" s="123"/>
      <c r="AX43" s="123"/>
      <c r="AY43" s="123"/>
      <c r="AZ43" s="123"/>
      <c r="BA43" s="123"/>
      <c r="BB43" s="123"/>
      <c r="BC43" s="123"/>
      <c r="BD43" s="123"/>
      <c r="BE43" s="123"/>
      <c r="BF43" s="123"/>
      <c r="BG43" s="123"/>
      <c r="BH43" s="123"/>
      <c r="BI43" s="123"/>
      <c r="BJ43" s="123"/>
      <c r="BK43" s="123"/>
      <c r="BL43" s="123"/>
      <c r="BM43" s="123"/>
      <c r="BN43" s="123"/>
      <c r="BO43" s="123"/>
      <c r="BP43" s="123"/>
      <c r="BQ43" s="123"/>
      <c r="BR43" s="123"/>
      <c r="BS43" s="123"/>
      <c r="BT43" s="123"/>
      <c r="BU43" s="123"/>
      <c r="BV43" s="123"/>
      <c r="BW43" s="123"/>
      <c r="BX43" s="123"/>
      <c r="BY43" s="123"/>
      <c r="BZ43" s="123"/>
      <c r="CA43" s="123"/>
      <c r="CB43" s="123"/>
      <c r="CC43" s="123"/>
      <c r="CD43" s="125"/>
    </row>
    <row r="44" spans="2:85" ht="13.5" thickBot="1" x14ac:dyDescent="0.25">
      <c r="B44" s="126"/>
      <c r="C44" s="129">
        <f>C$11</f>
        <v>1</v>
      </c>
      <c r="D44" s="128"/>
      <c r="E44" s="129">
        <f>E$11</f>
        <v>2</v>
      </c>
      <c r="F44" s="128"/>
      <c r="G44" s="129">
        <f>G$11</f>
        <v>3</v>
      </c>
      <c r="H44" s="128"/>
      <c r="I44" s="129">
        <f>I$11</f>
        <v>4</v>
      </c>
      <c r="J44" s="128"/>
      <c r="K44" s="129">
        <f>K$11</f>
        <v>5</v>
      </c>
      <c r="L44" s="128"/>
      <c r="M44" s="129">
        <f>M$11</f>
        <v>6</v>
      </c>
      <c r="N44" s="128"/>
      <c r="O44" s="129">
        <f>O$11</f>
        <v>7</v>
      </c>
      <c r="P44" s="128"/>
      <c r="Q44" s="129">
        <f>Q$11</f>
        <v>8</v>
      </c>
      <c r="R44" s="128"/>
      <c r="S44" s="129">
        <f>S$11</f>
        <v>9</v>
      </c>
      <c r="T44" s="128"/>
      <c r="U44" s="129">
        <f>U$11</f>
        <v>10</v>
      </c>
      <c r="V44" s="128"/>
      <c r="W44" s="129">
        <f>W$11</f>
        <v>11</v>
      </c>
      <c r="X44" s="128"/>
      <c r="Y44" s="129">
        <f>Y$11</f>
        <v>12</v>
      </c>
      <c r="Z44" s="128"/>
      <c r="AA44" s="129">
        <f>AA$11</f>
        <v>13</v>
      </c>
      <c r="AB44" s="128"/>
      <c r="AC44" s="129">
        <f>AC$11</f>
        <v>14</v>
      </c>
      <c r="AD44" s="128"/>
      <c r="AE44" s="129">
        <f>AE$11</f>
        <v>15</v>
      </c>
      <c r="AF44" s="128"/>
      <c r="AG44" s="129">
        <f>AG$11</f>
        <v>16</v>
      </c>
      <c r="AH44" s="128"/>
      <c r="AI44" s="129">
        <f>AI$11</f>
        <v>17</v>
      </c>
      <c r="AJ44" s="128"/>
      <c r="AK44" s="129">
        <f>AK$11</f>
        <v>18</v>
      </c>
      <c r="AL44" s="128"/>
      <c r="AM44" s="129">
        <f>AM$11</f>
        <v>19</v>
      </c>
      <c r="AN44" s="128"/>
      <c r="AO44" s="129">
        <f>AO$11</f>
        <v>20</v>
      </c>
      <c r="AP44" s="128"/>
      <c r="AQ44" s="129">
        <f>AQ$11</f>
        <v>21</v>
      </c>
      <c r="AR44" s="128"/>
      <c r="AS44" s="129">
        <f>AS$11</f>
        <v>22</v>
      </c>
      <c r="AT44" s="128"/>
      <c r="AU44" s="129">
        <f>AU$11</f>
        <v>23</v>
      </c>
      <c r="AV44" s="128"/>
      <c r="AW44" s="129">
        <f t="shared" ref="AW44:BG44" si="4">AW$11</f>
        <v>24</v>
      </c>
      <c r="AX44" s="128"/>
      <c r="AY44" s="129">
        <f t="shared" si="4"/>
        <v>25</v>
      </c>
      <c r="AZ44" s="128"/>
      <c r="BA44" s="129">
        <f t="shared" si="4"/>
        <v>26</v>
      </c>
      <c r="BB44" s="128"/>
      <c r="BC44" s="129">
        <f t="shared" si="4"/>
        <v>27</v>
      </c>
      <c r="BD44" s="128"/>
      <c r="BE44" s="129">
        <f t="shared" si="4"/>
        <v>28</v>
      </c>
      <c r="BF44" s="128"/>
      <c r="BG44" s="129">
        <f t="shared" si="4"/>
        <v>29</v>
      </c>
      <c r="BH44" s="128"/>
      <c r="BI44" s="129">
        <f>BI$11</f>
        <v>30</v>
      </c>
      <c r="BJ44" s="128"/>
      <c r="BK44" s="129">
        <f t="shared" ref="BK44:CA44" si="5">BK$11</f>
        <v>31</v>
      </c>
      <c r="BL44" s="128"/>
      <c r="BM44" s="129">
        <f t="shared" si="5"/>
        <v>32</v>
      </c>
      <c r="BN44" s="128"/>
      <c r="BO44" s="129">
        <f t="shared" si="5"/>
        <v>33</v>
      </c>
      <c r="BP44" s="128"/>
      <c r="BQ44" s="129">
        <f t="shared" si="5"/>
        <v>34</v>
      </c>
      <c r="BR44" s="128"/>
      <c r="BS44" s="129">
        <f t="shared" si="5"/>
        <v>35</v>
      </c>
      <c r="BT44" s="128"/>
      <c r="BU44" s="129">
        <f t="shared" si="5"/>
        <v>36</v>
      </c>
      <c r="BV44" s="128"/>
      <c r="BW44" s="129">
        <f t="shared" si="5"/>
        <v>37</v>
      </c>
      <c r="BX44" s="128"/>
      <c r="BY44" s="129">
        <f t="shared" si="5"/>
        <v>38</v>
      </c>
      <c r="BZ44" s="128"/>
      <c r="CA44" s="129">
        <f t="shared" si="5"/>
        <v>39</v>
      </c>
      <c r="CB44" s="128"/>
      <c r="CC44" s="129">
        <f>CC$11</f>
        <v>40</v>
      </c>
      <c r="CD44" s="130"/>
      <c r="CG44" s="414" t="s">
        <v>323</v>
      </c>
    </row>
    <row r="45" spans="2:85" x14ac:dyDescent="0.2">
      <c r="B45" s="137" t="s">
        <v>9</v>
      </c>
      <c r="C45" s="269"/>
      <c r="D45" s="269"/>
      <c r="E45" s="269"/>
      <c r="F45" s="275"/>
      <c r="G45" s="275"/>
      <c r="H45" s="275"/>
      <c r="I45" s="266"/>
      <c r="J45" s="266"/>
      <c r="K45" s="266"/>
      <c r="L45" s="266"/>
      <c r="M45" s="273"/>
      <c r="N45" s="273"/>
      <c r="O45" s="273"/>
      <c r="P45" s="273"/>
      <c r="Q45" s="270"/>
      <c r="R45" s="270"/>
      <c r="S45" s="270"/>
      <c r="T45" s="270"/>
      <c r="U45" s="267"/>
      <c r="V45" s="267"/>
      <c r="W45" s="267"/>
      <c r="X45" s="267"/>
      <c r="Y45" s="267"/>
      <c r="Z45" s="268"/>
      <c r="AA45" s="268"/>
      <c r="AB45" s="268"/>
      <c r="AC45" s="268"/>
      <c r="AD45" s="268"/>
      <c r="AE45" s="268"/>
      <c r="AF45" s="131"/>
      <c r="AG45" s="131"/>
      <c r="AH45" s="131"/>
      <c r="AI45" s="131"/>
      <c r="AJ45" s="131"/>
      <c r="AK45" s="131"/>
      <c r="AL45" s="132"/>
      <c r="AM45" s="132"/>
      <c r="AN45" s="142"/>
      <c r="AO45" s="132"/>
      <c r="AP45" s="132"/>
      <c r="AQ45" s="132"/>
      <c r="AR45" s="132"/>
      <c r="AS45" s="132"/>
      <c r="AT45" s="132"/>
      <c r="AU45" s="132"/>
      <c r="AV45" s="132"/>
      <c r="AW45" s="132"/>
      <c r="AX45" s="132"/>
      <c r="AY45" s="132"/>
      <c r="AZ45" s="132"/>
      <c r="BA45" s="132"/>
      <c r="BB45" s="132"/>
      <c r="BC45" s="132"/>
      <c r="BD45" s="132"/>
      <c r="BE45" s="132"/>
      <c r="BF45" s="132"/>
      <c r="BG45" s="132"/>
      <c r="BH45" s="293"/>
      <c r="CD45" s="143"/>
    </row>
    <row r="46" spans="2:85" ht="3.95" customHeight="1" x14ac:dyDescent="0.2">
      <c r="B46" s="134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  <c r="AC46" s="135"/>
      <c r="AD46" s="135"/>
      <c r="AE46" s="135"/>
      <c r="AF46" s="135"/>
      <c r="AG46" s="135"/>
      <c r="AH46" s="135"/>
      <c r="AI46" s="135"/>
      <c r="AJ46" s="135"/>
      <c r="AK46" s="135"/>
      <c r="AL46" s="135"/>
      <c r="AM46" s="135"/>
      <c r="AN46" s="135"/>
      <c r="AO46" s="135"/>
      <c r="AP46" s="135"/>
      <c r="AQ46" s="135"/>
      <c r="AR46" s="135"/>
      <c r="AS46" s="135"/>
      <c r="AT46" s="135"/>
      <c r="AU46" s="135"/>
      <c r="AV46" s="135"/>
      <c r="AW46" s="135"/>
      <c r="AX46" s="135"/>
      <c r="AY46" s="135"/>
      <c r="AZ46" s="135"/>
      <c r="BA46" s="135"/>
      <c r="BB46" s="135"/>
      <c r="BC46" s="135"/>
      <c r="BD46" s="135"/>
      <c r="BE46" s="135"/>
      <c r="BF46" s="135"/>
      <c r="BG46" s="135"/>
      <c r="BH46" s="294"/>
      <c r="BI46" s="135"/>
      <c r="BJ46" s="135"/>
      <c r="BK46" s="135"/>
      <c r="BL46" s="135"/>
      <c r="BM46" s="135"/>
      <c r="BN46" s="135"/>
      <c r="BO46" s="135"/>
      <c r="BP46" s="135"/>
      <c r="BQ46" s="135"/>
      <c r="BR46" s="135"/>
      <c r="BS46" s="135"/>
      <c r="BT46" s="135"/>
      <c r="BU46" s="135"/>
      <c r="BV46" s="135"/>
      <c r="BW46" s="135"/>
      <c r="BX46" s="135"/>
      <c r="BY46" s="135"/>
      <c r="BZ46" s="135"/>
      <c r="CA46" s="135"/>
      <c r="CB46" s="135"/>
      <c r="CC46" s="135"/>
      <c r="CD46" s="136"/>
    </row>
    <row r="47" spans="2:85" x14ac:dyDescent="0.2">
      <c r="B47" s="137" t="s">
        <v>10</v>
      </c>
      <c r="C47" s="276"/>
      <c r="D47" s="276"/>
      <c r="E47" s="276"/>
      <c r="F47" s="276"/>
      <c r="G47" s="276"/>
      <c r="H47" s="276"/>
      <c r="Q47" s="131"/>
      <c r="R47" s="131"/>
      <c r="S47" s="131"/>
      <c r="T47" s="131"/>
      <c r="U47" s="270"/>
      <c r="V47" s="270"/>
      <c r="W47" s="270"/>
      <c r="X47" s="270"/>
      <c r="Y47" s="270"/>
      <c r="Z47" s="270"/>
      <c r="AA47" s="270"/>
      <c r="AB47" s="131"/>
      <c r="AC47" s="131"/>
      <c r="AD47" s="131"/>
      <c r="AE47" s="131"/>
      <c r="AF47" s="268"/>
      <c r="AG47" s="268"/>
      <c r="AH47" s="268"/>
      <c r="AI47" s="268"/>
      <c r="AJ47" s="268"/>
      <c r="AK47" s="131"/>
      <c r="AL47" s="131"/>
      <c r="AM47" s="131"/>
      <c r="AN47" s="131"/>
      <c r="AO47" s="131"/>
      <c r="AP47" s="131"/>
      <c r="AQ47" s="131"/>
      <c r="AT47" s="131"/>
      <c r="AU47" s="131"/>
      <c r="AV47" s="131"/>
      <c r="AW47" s="131"/>
      <c r="AX47" s="131"/>
      <c r="AY47" s="131"/>
      <c r="AZ47" s="131"/>
      <c r="BA47" s="265"/>
      <c r="BB47" s="265"/>
      <c r="BC47" s="265"/>
      <c r="BD47" s="265"/>
      <c r="BE47" s="265"/>
      <c r="BF47" s="265"/>
      <c r="BG47" s="265"/>
      <c r="BH47" s="457"/>
      <c r="CD47" s="133"/>
    </row>
    <row r="48" spans="2:85" ht="3.95" customHeight="1" x14ac:dyDescent="0.2">
      <c r="B48" s="134"/>
      <c r="C48" s="135"/>
      <c r="D48" s="135"/>
      <c r="E48" s="135"/>
      <c r="F48" s="135"/>
      <c r="G48" s="135"/>
      <c r="H48" s="135"/>
      <c r="I48" s="135"/>
      <c r="J48" s="135"/>
      <c r="K48" s="135"/>
      <c r="L48" s="135"/>
      <c r="M48" s="135"/>
      <c r="N48" s="135"/>
      <c r="O48" s="135"/>
      <c r="P48" s="135"/>
      <c r="Q48" s="135"/>
      <c r="R48" s="135"/>
      <c r="S48" s="135"/>
      <c r="T48" s="135"/>
      <c r="U48" s="135"/>
      <c r="V48" s="135"/>
      <c r="W48" s="135"/>
      <c r="X48" s="135"/>
      <c r="Y48" s="135"/>
      <c r="Z48" s="135"/>
      <c r="AA48" s="135"/>
      <c r="AB48" s="135"/>
      <c r="AC48" s="135"/>
      <c r="AD48" s="135"/>
      <c r="AE48" s="135"/>
      <c r="AF48" s="135"/>
      <c r="AG48" s="135"/>
      <c r="AH48" s="135"/>
      <c r="AI48" s="135"/>
      <c r="AJ48" s="135"/>
      <c r="AK48" s="135"/>
      <c r="AL48" s="135"/>
      <c r="AM48" s="135"/>
      <c r="AN48" s="135"/>
      <c r="AO48" s="135"/>
      <c r="AP48" s="135"/>
      <c r="AQ48" s="135"/>
      <c r="AR48" s="135"/>
      <c r="AS48" s="135"/>
      <c r="AT48" s="135"/>
      <c r="AU48" s="135"/>
      <c r="AV48" s="135"/>
      <c r="AW48" s="135"/>
      <c r="AX48" s="135"/>
      <c r="AY48" s="135"/>
      <c r="AZ48" s="135"/>
      <c r="BA48" s="135"/>
      <c r="BB48" s="135"/>
      <c r="BC48" s="135"/>
      <c r="BD48" s="135"/>
      <c r="BE48" s="135"/>
      <c r="BF48" s="135"/>
      <c r="BG48" s="135"/>
      <c r="BH48" s="294"/>
      <c r="BI48" s="135"/>
      <c r="BJ48" s="135"/>
      <c r="BK48" s="135"/>
      <c r="BL48" s="135"/>
      <c r="BM48" s="135"/>
      <c r="BN48" s="135"/>
      <c r="BO48" s="135"/>
      <c r="BP48" s="135"/>
      <c r="BQ48" s="135"/>
      <c r="BR48" s="135"/>
      <c r="BS48" s="135"/>
      <c r="BT48" s="135"/>
      <c r="BU48" s="135"/>
      <c r="BV48" s="135"/>
      <c r="BW48" s="135"/>
      <c r="BX48" s="135"/>
      <c r="BY48" s="135"/>
      <c r="BZ48" s="135"/>
      <c r="CA48" s="135"/>
      <c r="CB48" s="135"/>
      <c r="CC48" s="135"/>
      <c r="CD48" s="136"/>
    </row>
    <row r="49" spans="2:85" x14ac:dyDescent="0.2">
      <c r="B49" s="137" t="s">
        <v>11</v>
      </c>
      <c r="C49" s="277"/>
      <c r="D49" s="277"/>
      <c r="E49" s="277"/>
      <c r="F49" s="269"/>
      <c r="G49" s="269"/>
      <c r="H49" s="269"/>
      <c r="I49" s="269"/>
      <c r="J49" s="269"/>
      <c r="K49" s="269"/>
      <c r="L49" s="278"/>
      <c r="M49" s="278"/>
      <c r="N49" s="278"/>
      <c r="O49" s="278"/>
      <c r="P49" s="275"/>
      <c r="Q49" s="275"/>
      <c r="R49" s="275"/>
      <c r="S49" s="275"/>
      <c r="T49" s="266"/>
      <c r="U49" s="266"/>
      <c r="V49" s="266"/>
      <c r="W49" s="266"/>
      <c r="X49" s="266"/>
      <c r="Y49" s="273"/>
      <c r="Z49" s="273"/>
      <c r="AA49" s="273"/>
      <c r="AB49" s="273"/>
      <c r="AC49" s="273"/>
      <c r="AD49" s="273"/>
      <c r="AE49" s="274"/>
      <c r="AF49" s="274"/>
      <c r="AG49" s="274"/>
      <c r="AH49" s="274"/>
      <c r="AI49" s="274"/>
      <c r="AJ49" s="267"/>
      <c r="AK49" s="267"/>
      <c r="AL49" s="267"/>
      <c r="AM49" s="267"/>
      <c r="AN49" s="267"/>
      <c r="AO49" s="267"/>
      <c r="AP49" s="267"/>
      <c r="AQ49" s="271"/>
      <c r="AR49" s="271"/>
      <c r="AS49" s="271"/>
      <c r="AT49" s="271"/>
      <c r="AU49" s="271"/>
      <c r="AV49" s="271"/>
      <c r="AW49" s="265"/>
      <c r="AX49" s="265"/>
      <c r="AY49" s="265"/>
      <c r="AZ49" s="265"/>
      <c r="BA49" s="272"/>
      <c r="BB49" s="272"/>
      <c r="BC49" s="272"/>
      <c r="BD49" s="272"/>
      <c r="BE49" s="131"/>
      <c r="BF49" s="131"/>
      <c r="BG49" s="131"/>
      <c r="BH49" s="386"/>
      <c r="CD49" s="133"/>
    </row>
    <row r="50" spans="2:85" ht="3.95" customHeight="1" x14ac:dyDescent="0.2">
      <c r="B50" s="134"/>
      <c r="C50" s="135"/>
      <c r="D50" s="135"/>
      <c r="E50" s="135"/>
      <c r="F50" s="135"/>
      <c r="G50" s="135"/>
      <c r="H50" s="135"/>
      <c r="I50" s="135"/>
      <c r="J50" s="135"/>
      <c r="K50" s="135"/>
      <c r="L50" s="135"/>
      <c r="M50" s="135"/>
      <c r="N50" s="135"/>
      <c r="O50" s="135"/>
      <c r="P50" s="135"/>
      <c r="Q50" s="135"/>
      <c r="R50" s="135"/>
      <c r="S50" s="135"/>
      <c r="T50" s="135"/>
      <c r="U50" s="135"/>
      <c r="V50" s="135"/>
      <c r="W50" s="135"/>
      <c r="X50" s="135"/>
      <c r="Y50" s="135"/>
      <c r="Z50" s="135"/>
      <c r="AA50" s="135"/>
      <c r="AB50" s="135"/>
      <c r="AC50" s="135"/>
      <c r="AD50" s="135"/>
      <c r="AE50" s="135"/>
      <c r="AF50" s="135"/>
      <c r="AG50" s="135"/>
      <c r="AH50" s="135"/>
      <c r="AI50" s="135"/>
      <c r="AJ50" s="135"/>
      <c r="AK50" s="135"/>
      <c r="AL50" s="135"/>
      <c r="AM50" s="135"/>
      <c r="AN50" s="135"/>
      <c r="AO50" s="135"/>
      <c r="AP50" s="135"/>
      <c r="AQ50" s="135"/>
      <c r="AR50" s="135"/>
      <c r="AS50" s="135"/>
      <c r="AT50" s="135"/>
      <c r="AU50" s="135"/>
      <c r="AV50" s="135"/>
      <c r="AW50" s="135"/>
      <c r="AX50" s="135"/>
      <c r="AY50" s="135"/>
      <c r="AZ50" s="135"/>
      <c r="BA50" s="135"/>
      <c r="BB50" s="135"/>
      <c r="BC50" s="135"/>
      <c r="BD50" s="135"/>
      <c r="BE50" s="135"/>
      <c r="BF50" s="135"/>
      <c r="BG50" s="135"/>
      <c r="BH50" s="294"/>
      <c r="BI50" s="135"/>
      <c r="BJ50" s="135"/>
      <c r="BK50" s="135"/>
      <c r="BL50" s="135"/>
      <c r="BM50" s="135"/>
      <c r="BN50" s="135"/>
      <c r="BO50" s="135"/>
      <c r="BP50" s="135"/>
      <c r="BQ50" s="135"/>
      <c r="BR50" s="135"/>
      <c r="BS50" s="135"/>
      <c r="BT50" s="135"/>
      <c r="BU50" s="135"/>
      <c r="BV50" s="135"/>
      <c r="BW50" s="135"/>
      <c r="BX50" s="135"/>
      <c r="BY50" s="135"/>
      <c r="BZ50" s="135"/>
      <c r="CA50" s="135"/>
      <c r="CB50" s="135"/>
      <c r="CC50" s="135"/>
      <c r="CD50" s="136"/>
    </row>
    <row r="51" spans="2:85" x14ac:dyDescent="0.2">
      <c r="B51" s="137" t="s">
        <v>12</v>
      </c>
      <c r="C51" s="278"/>
      <c r="D51" s="278"/>
      <c r="E51" s="278"/>
      <c r="F51" s="278"/>
      <c r="G51" s="278"/>
      <c r="H51" s="278"/>
      <c r="I51" s="277"/>
      <c r="J51" s="277"/>
      <c r="K51" s="277"/>
      <c r="L51" s="277"/>
      <c r="M51" s="276"/>
      <c r="N51" s="276"/>
      <c r="O51" s="276"/>
      <c r="P51" s="276"/>
      <c r="Q51" s="276"/>
      <c r="R51" s="271"/>
      <c r="S51" s="271"/>
      <c r="T51" s="271"/>
      <c r="U51" s="271"/>
      <c r="Y51" s="266"/>
      <c r="Z51" s="266"/>
      <c r="AA51" s="266"/>
      <c r="AB51" s="266"/>
      <c r="AC51" s="266"/>
      <c r="AD51" s="266"/>
      <c r="AE51" s="273"/>
      <c r="AF51" s="273"/>
      <c r="AG51" s="273"/>
      <c r="AH51" s="273"/>
      <c r="AI51" s="273"/>
      <c r="AJ51" s="273"/>
      <c r="AK51" s="274"/>
      <c r="AL51" s="274"/>
      <c r="AM51" s="274"/>
      <c r="AN51" s="274"/>
      <c r="AO51" s="274"/>
      <c r="AP51" s="274"/>
      <c r="AQ51" s="270"/>
      <c r="AR51" s="270"/>
      <c r="AS51" s="270"/>
      <c r="AT51" s="270"/>
      <c r="AU51" s="270"/>
      <c r="AV51" s="270"/>
      <c r="AW51" s="267"/>
      <c r="AX51" s="267"/>
      <c r="AY51" s="267"/>
      <c r="AZ51" s="267"/>
      <c r="BA51" s="267"/>
      <c r="BB51" s="267"/>
      <c r="BD51" s="131"/>
      <c r="BE51" s="272"/>
      <c r="BF51" s="272"/>
      <c r="BG51" s="131"/>
      <c r="BH51" s="386"/>
      <c r="CD51" s="133"/>
    </row>
    <row r="52" spans="2:85" ht="3.95" customHeight="1" thickBot="1" x14ac:dyDescent="0.25">
      <c r="B52" s="138"/>
      <c r="C52" s="139"/>
      <c r="D52" s="139"/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  <c r="AC52" s="139"/>
      <c r="AD52" s="139"/>
      <c r="AE52" s="139"/>
      <c r="AF52" s="139"/>
      <c r="AG52" s="139"/>
      <c r="AH52" s="139"/>
      <c r="AI52" s="139"/>
      <c r="AJ52" s="139"/>
      <c r="AK52" s="139"/>
      <c r="AL52" s="139"/>
      <c r="AM52" s="139"/>
      <c r="AN52" s="139"/>
      <c r="AO52" s="139"/>
      <c r="AP52" s="139"/>
      <c r="AQ52" s="139"/>
      <c r="AR52" s="139"/>
      <c r="AS52" s="139"/>
      <c r="AT52" s="139"/>
      <c r="AU52" s="139"/>
      <c r="AV52" s="139"/>
      <c r="AW52" s="139"/>
      <c r="AX52" s="139"/>
      <c r="AY52" s="139"/>
      <c r="AZ52" s="139"/>
      <c r="BA52" s="139"/>
      <c r="BB52" s="139"/>
      <c r="BC52" s="139"/>
      <c r="BD52" s="139"/>
      <c r="BE52" s="139"/>
      <c r="BF52" s="139"/>
      <c r="BG52" s="139"/>
      <c r="BH52" s="139"/>
      <c r="BI52" s="139"/>
      <c r="BJ52" s="139"/>
      <c r="BK52" s="139"/>
      <c r="BL52" s="139"/>
      <c r="BM52" s="139"/>
      <c r="BN52" s="139"/>
      <c r="BO52" s="139"/>
      <c r="BP52" s="139"/>
      <c r="BQ52" s="139"/>
      <c r="BR52" s="139"/>
      <c r="BS52" s="139"/>
      <c r="BT52" s="139"/>
      <c r="BU52" s="139"/>
      <c r="BV52" s="139"/>
      <c r="BW52" s="139"/>
      <c r="BX52" s="139"/>
      <c r="BY52" s="139"/>
      <c r="BZ52" s="139"/>
      <c r="CA52" s="139"/>
      <c r="CB52" s="139"/>
      <c r="CC52" s="139"/>
      <c r="CD52" s="140"/>
    </row>
    <row r="53" spans="2:85" ht="13.5" thickBot="1" x14ac:dyDescent="0.25"/>
    <row r="54" spans="2:85" ht="15.75" thickBot="1" x14ac:dyDescent="0.25">
      <c r="B54" s="122" t="s">
        <v>101</v>
      </c>
      <c r="C54" s="123"/>
      <c r="D54" s="123"/>
      <c r="E54" s="123"/>
      <c r="F54" s="123"/>
      <c r="G54" s="123"/>
      <c r="H54" s="123"/>
      <c r="I54" s="123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123"/>
      <c r="AH54" s="123"/>
      <c r="AI54" s="123"/>
      <c r="AJ54" s="123"/>
      <c r="AK54" s="123"/>
      <c r="AL54" s="123"/>
      <c r="AM54" s="123"/>
      <c r="AN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123"/>
      <c r="BR54" s="123"/>
      <c r="BS54" s="123"/>
      <c r="BT54" s="123"/>
      <c r="BU54" s="123"/>
      <c r="BV54" s="123"/>
      <c r="BW54" s="123"/>
      <c r="BX54" s="123"/>
      <c r="BY54" s="123"/>
      <c r="BZ54" s="123"/>
      <c r="CA54" s="123"/>
      <c r="CB54" s="123"/>
      <c r="CC54" s="123"/>
      <c r="CD54" s="125"/>
    </row>
    <row r="55" spans="2:85" ht="13.5" thickBot="1" x14ac:dyDescent="0.25">
      <c r="B55" s="126"/>
      <c r="C55" s="129">
        <f>C$11</f>
        <v>1</v>
      </c>
      <c r="D55" s="128"/>
      <c r="E55" s="129">
        <f>E$11</f>
        <v>2</v>
      </c>
      <c r="F55" s="128"/>
      <c r="G55" s="129">
        <f>G$11</f>
        <v>3</v>
      </c>
      <c r="H55" s="128"/>
      <c r="I55" s="129">
        <f>I$11</f>
        <v>4</v>
      </c>
      <c r="J55" s="128"/>
      <c r="K55" s="129">
        <f>K$11</f>
        <v>5</v>
      </c>
      <c r="L55" s="128"/>
      <c r="M55" s="129">
        <f>M$11</f>
        <v>6</v>
      </c>
      <c r="N55" s="128"/>
      <c r="O55" s="129">
        <f>O$11</f>
        <v>7</v>
      </c>
      <c r="P55" s="128"/>
      <c r="Q55" s="129">
        <f>Q$11</f>
        <v>8</v>
      </c>
      <c r="R55" s="128"/>
      <c r="S55" s="129">
        <f>S$11</f>
        <v>9</v>
      </c>
      <c r="T55" s="128"/>
      <c r="U55" s="129">
        <f>U$11</f>
        <v>10</v>
      </c>
      <c r="V55" s="128"/>
      <c r="W55" s="129">
        <f>W$11</f>
        <v>11</v>
      </c>
      <c r="X55" s="128"/>
      <c r="Y55" s="129">
        <f>Y$11</f>
        <v>12</v>
      </c>
      <c r="Z55" s="128"/>
      <c r="AA55" s="129">
        <f>AA$11</f>
        <v>13</v>
      </c>
      <c r="AB55" s="128"/>
      <c r="AC55" s="129">
        <f>AC$11</f>
        <v>14</v>
      </c>
      <c r="AD55" s="128"/>
      <c r="AE55" s="129">
        <f>AE$11</f>
        <v>15</v>
      </c>
      <c r="AF55" s="128"/>
      <c r="AG55" s="129">
        <f>AG$11</f>
        <v>16</v>
      </c>
      <c r="AH55" s="128"/>
      <c r="AI55" s="129">
        <f>AI$11</f>
        <v>17</v>
      </c>
      <c r="AJ55" s="128"/>
      <c r="AK55" s="129">
        <f>AK$11</f>
        <v>18</v>
      </c>
      <c r="AL55" s="128"/>
      <c r="AM55" s="129">
        <f>AM$11</f>
        <v>19</v>
      </c>
      <c r="AN55" s="128"/>
      <c r="AO55" s="129">
        <f>AO$11</f>
        <v>20</v>
      </c>
      <c r="AP55" s="128"/>
      <c r="AQ55" s="129">
        <f>AQ$11</f>
        <v>21</v>
      </c>
      <c r="AR55" s="128"/>
      <c r="AS55" s="129">
        <f>AS$11</f>
        <v>22</v>
      </c>
      <c r="AT55" s="128"/>
      <c r="AU55" s="129">
        <f>AU$11</f>
        <v>23</v>
      </c>
      <c r="AV55" s="128"/>
      <c r="AW55" s="129">
        <f t="shared" ref="AW55:BG55" si="6">AW$11</f>
        <v>24</v>
      </c>
      <c r="AX55" s="128"/>
      <c r="AY55" s="129">
        <f t="shared" si="6"/>
        <v>25</v>
      </c>
      <c r="AZ55" s="128"/>
      <c r="BA55" s="129">
        <f t="shared" si="6"/>
        <v>26</v>
      </c>
      <c r="BB55" s="128"/>
      <c r="BC55" s="129">
        <f t="shared" si="6"/>
        <v>27</v>
      </c>
      <c r="BD55" s="128"/>
      <c r="BE55" s="129">
        <f t="shared" si="6"/>
        <v>28</v>
      </c>
      <c r="BF55" s="128"/>
      <c r="BG55" s="129">
        <f t="shared" si="6"/>
        <v>29</v>
      </c>
      <c r="BH55" s="128"/>
      <c r="BI55" s="129">
        <f>BI$11</f>
        <v>30</v>
      </c>
      <c r="BJ55" s="128"/>
      <c r="BK55" s="129">
        <f t="shared" ref="BK55:CA55" si="7">BK$11</f>
        <v>31</v>
      </c>
      <c r="BL55" s="128"/>
      <c r="BM55" s="129">
        <f t="shared" si="7"/>
        <v>32</v>
      </c>
      <c r="BN55" s="128"/>
      <c r="BO55" s="129">
        <f t="shared" si="7"/>
        <v>33</v>
      </c>
      <c r="BP55" s="128"/>
      <c r="BQ55" s="129">
        <f t="shared" si="7"/>
        <v>34</v>
      </c>
      <c r="BR55" s="128"/>
      <c r="BS55" s="129">
        <f t="shared" si="7"/>
        <v>35</v>
      </c>
      <c r="BT55" s="128"/>
      <c r="BU55" s="129">
        <f t="shared" si="7"/>
        <v>36</v>
      </c>
      <c r="BV55" s="128"/>
      <c r="BW55" s="129">
        <f t="shared" si="7"/>
        <v>37</v>
      </c>
      <c r="BX55" s="128"/>
      <c r="BY55" s="129">
        <f t="shared" si="7"/>
        <v>38</v>
      </c>
      <c r="BZ55" s="128"/>
      <c r="CA55" s="129">
        <f t="shared" si="7"/>
        <v>39</v>
      </c>
      <c r="CB55" s="128"/>
      <c r="CC55" s="129">
        <f>CC$11</f>
        <v>40</v>
      </c>
      <c r="CD55" s="144"/>
    </row>
    <row r="56" spans="2:85" x14ac:dyDescent="0.2">
      <c r="B56" s="137" t="s">
        <v>9</v>
      </c>
      <c r="C56" s="141"/>
      <c r="D56" s="131"/>
      <c r="E56" s="131"/>
      <c r="F56" s="131"/>
      <c r="G56" s="131"/>
      <c r="H56" s="131"/>
      <c r="I56" s="131"/>
      <c r="J56" s="131"/>
      <c r="K56" s="142"/>
      <c r="L56" s="142"/>
      <c r="M56" s="142"/>
      <c r="N56" s="142"/>
      <c r="O56" s="142"/>
      <c r="P56" s="132"/>
      <c r="Q56" s="132"/>
      <c r="R56" s="132"/>
      <c r="S56" s="131"/>
      <c r="T56" s="131"/>
      <c r="U56" s="132"/>
      <c r="V56" s="131"/>
      <c r="W56" s="131"/>
      <c r="X56" s="131"/>
      <c r="Y56" s="131"/>
      <c r="Z56" s="131"/>
      <c r="AA56" s="131"/>
      <c r="AB56" s="439"/>
      <c r="AC56" s="131"/>
      <c r="AD56" s="131"/>
      <c r="AE56" s="267"/>
      <c r="AF56" s="267"/>
      <c r="AG56" s="267"/>
      <c r="AH56" s="267"/>
      <c r="AI56" s="267"/>
      <c r="AJ56" s="131"/>
      <c r="AK56" s="131"/>
      <c r="AL56" s="270"/>
      <c r="AM56" s="270"/>
      <c r="AN56" s="270"/>
      <c r="AO56" s="270"/>
      <c r="AP56" s="132"/>
      <c r="AQ56" s="132"/>
      <c r="AR56" s="132"/>
      <c r="AS56" s="268"/>
      <c r="AT56" s="268"/>
      <c r="AU56" s="268"/>
      <c r="AV56" s="268"/>
      <c r="AW56" s="268"/>
      <c r="AX56" s="268"/>
      <c r="AY56" s="273"/>
      <c r="AZ56" s="273"/>
      <c r="BA56" s="273"/>
      <c r="BB56" s="273"/>
      <c r="BC56" s="132"/>
      <c r="BD56" s="132"/>
      <c r="BE56" s="266"/>
      <c r="BF56" s="266"/>
      <c r="BG56" s="266"/>
      <c r="BH56" s="266"/>
      <c r="BN56" s="275"/>
      <c r="BO56" s="275"/>
      <c r="BP56" s="275"/>
      <c r="BV56" s="269"/>
      <c r="BW56" s="269"/>
      <c r="BX56" s="269"/>
      <c r="CD56" s="143"/>
      <c r="CG56" s="414" t="s">
        <v>323</v>
      </c>
    </row>
    <row r="57" spans="2:85" ht="3.95" customHeight="1" x14ac:dyDescent="0.2">
      <c r="B57" s="134"/>
      <c r="C57" s="135"/>
      <c r="D57" s="135"/>
      <c r="E57" s="135"/>
      <c r="F57" s="135"/>
      <c r="G57" s="135"/>
      <c r="H57" s="135"/>
      <c r="I57" s="135"/>
      <c r="J57" s="135"/>
      <c r="K57" s="135"/>
      <c r="L57" s="135"/>
      <c r="M57" s="135"/>
      <c r="N57" s="135"/>
      <c r="O57" s="135"/>
      <c r="P57" s="135"/>
      <c r="Q57" s="135"/>
      <c r="R57" s="135"/>
      <c r="S57" s="135"/>
      <c r="T57" s="135"/>
      <c r="U57" s="135"/>
      <c r="V57" s="135"/>
      <c r="W57" s="135"/>
      <c r="X57" s="135"/>
      <c r="Y57" s="135"/>
      <c r="Z57" s="135"/>
      <c r="AA57" s="135"/>
      <c r="AB57" s="434"/>
      <c r="AC57" s="135"/>
      <c r="AD57" s="135"/>
      <c r="AE57" s="135"/>
      <c r="AF57" s="135"/>
      <c r="AG57" s="135"/>
      <c r="AH57" s="135"/>
      <c r="AI57" s="135"/>
      <c r="AJ57" s="135"/>
      <c r="AK57" s="135"/>
      <c r="AL57" s="135"/>
      <c r="AM57" s="135"/>
      <c r="AN57" s="135"/>
      <c r="AO57" s="135"/>
      <c r="AP57" s="135"/>
      <c r="AQ57" s="135"/>
      <c r="AR57" s="135"/>
      <c r="AS57" s="135"/>
      <c r="AT57" s="135"/>
      <c r="AU57" s="135"/>
      <c r="AV57" s="135"/>
      <c r="AW57" s="135"/>
      <c r="AX57" s="135"/>
      <c r="AY57" s="135"/>
      <c r="AZ57" s="135"/>
      <c r="BA57" s="135"/>
      <c r="BB57" s="135"/>
      <c r="BC57" s="135"/>
      <c r="BD57" s="135"/>
      <c r="BE57" s="135"/>
      <c r="BF57" s="135"/>
      <c r="BG57" s="135"/>
      <c r="BH57" s="135"/>
      <c r="BI57" s="135"/>
      <c r="BJ57" s="135"/>
      <c r="BK57" s="135"/>
      <c r="BL57" s="135"/>
      <c r="BM57" s="135"/>
      <c r="BN57" s="135"/>
      <c r="BO57" s="135"/>
      <c r="BP57" s="135"/>
      <c r="BQ57" s="135"/>
      <c r="BR57" s="135"/>
      <c r="BS57" s="135"/>
      <c r="BT57" s="135"/>
      <c r="BU57" s="135"/>
      <c r="BV57" s="135"/>
      <c r="BW57" s="135"/>
      <c r="BX57" s="135"/>
      <c r="BY57" s="135"/>
      <c r="BZ57" s="135"/>
      <c r="CA57" s="135"/>
      <c r="CB57" s="135"/>
      <c r="CC57" s="135"/>
      <c r="CD57" s="136"/>
    </row>
    <row r="58" spans="2:85" x14ac:dyDescent="0.2">
      <c r="B58" s="137" t="s">
        <v>10</v>
      </c>
      <c r="Q58" s="131"/>
      <c r="R58" s="131"/>
      <c r="S58" s="131"/>
      <c r="T58" s="131"/>
      <c r="U58" s="131"/>
      <c r="V58" s="131"/>
      <c r="W58" s="131"/>
      <c r="X58" s="131"/>
      <c r="Y58" s="131"/>
      <c r="Z58" s="131"/>
      <c r="AA58" s="131"/>
      <c r="AB58" s="433"/>
      <c r="AC58" s="131"/>
      <c r="AD58" s="131"/>
      <c r="AE58" s="131"/>
      <c r="AF58" s="276"/>
      <c r="AG58" s="276"/>
      <c r="AH58" s="276"/>
      <c r="AI58" s="276"/>
      <c r="AJ58" s="276"/>
      <c r="AK58" s="276"/>
      <c r="AL58" s="131"/>
      <c r="AM58" s="131"/>
      <c r="AN58" s="131"/>
      <c r="AO58" s="131"/>
      <c r="AP58" s="270"/>
      <c r="AQ58" s="270"/>
      <c r="AR58" s="270"/>
      <c r="AS58" s="270"/>
      <c r="AT58" s="270"/>
      <c r="AU58" s="270"/>
      <c r="AV58" s="270"/>
      <c r="AW58" s="131"/>
      <c r="AX58" s="131"/>
      <c r="AY58" s="131"/>
      <c r="AZ58" s="131"/>
      <c r="BA58" s="131"/>
      <c r="BR58" s="265"/>
      <c r="BS58" s="265"/>
      <c r="BT58" s="265"/>
      <c r="BU58" s="265"/>
      <c r="BV58" s="265"/>
      <c r="BW58" s="265"/>
      <c r="BX58" s="265"/>
      <c r="BY58" s="265"/>
      <c r="BZ58" s="268"/>
      <c r="CA58" s="268"/>
      <c r="CB58" s="268"/>
      <c r="CC58" s="268"/>
      <c r="CD58" s="268"/>
    </row>
    <row r="59" spans="2:85" ht="3.95" customHeight="1" x14ac:dyDescent="0.2">
      <c r="B59" s="134"/>
      <c r="C59" s="135"/>
      <c r="D59" s="135"/>
      <c r="E59" s="135"/>
      <c r="F59" s="135"/>
      <c r="G59" s="135"/>
      <c r="H59" s="135"/>
      <c r="I59" s="135"/>
      <c r="J59" s="135"/>
      <c r="K59" s="135"/>
      <c r="L59" s="135"/>
      <c r="M59" s="135"/>
      <c r="N59" s="135"/>
      <c r="O59" s="135"/>
      <c r="P59" s="135"/>
      <c r="Q59" s="135"/>
      <c r="R59" s="135"/>
      <c r="S59" s="135"/>
      <c r="T59" s="135"/>
      <c r="U59" s="135"/>
      <c r="V59" s="135"/>
      <c r="W59" s="135"/>
      <c r="X59" s="135"/>
      <c r="Y59" s="135"/>
      <c r="Z59" s="135"/>
      <c r="AA59" s="135"/>
      <c r="AB59" s="434"/>
      <c r="AC59" s="135"/>
      <c r="AD59" s="135"/>
      <c r="AE59" s="135"/>
      <c r="AF59" s="135"/>
      <c r="AG59" s="135"/>
      <c r="AH59" s="135"/>
      <c r="AI59" s="135"/>
      <c r="AJ59" s="135"/>
      <c r="AK59" s="135"/>
      <c r="AL59" s="135"/>
      <c r="AM59" s="135"/>
      <c r="AN59" s="135"/>
      <c r="AO59" s="135"/>
      <c r="AP59" s="135"/>
      <c r="AQ59" s="135"/>
      <c r="AR59" s="135"/>
      <c r="AS59" s="135"/>
      <c r="AT59" s="135"/>
      <c r="AU59" s="135"/>
      <c r="AV59" s="135"/>
      <c r="AW59" s="135"/>
      <c r="AX59" s="135"/>
      <c r="AY59" s="135"/>
      <c r="AZ59" s="135"/>
      <c r="BA59" s="135"/>
      <c r="BB59" s="135"/>
      <c r="BC59" s="135"/>
      <c r="BD59" s="135"/>
      <c r="BE59" s="135"/>
      <c r="BF59" s="135"/>
      <c r="BG59" s="135"/>
      <c r="BH59" s="135"/>
      <c r="BI59" s="135"/>
      <c r="BJ59" s="135"/>
      <c r="BK59" s="135"/>
      <c r="BL59" s="135"/>
      <c r="BM59" s="135"/>
      <c r="BN59" s="135"/>
      <c r="BO59" s="135"/>
      <c r="BP59" s="135"/>
      <c r="BQ59" s="135"/>
      <c r="BR59" s="135"/>
      <c r="BS59" s="135"/>
      <c r="BT59" s="135"/>
      <c r="BU59" s="135"/>
      <c r="BV59" s="135"/>
      <c r="BW59" s="135"/>
      <c r="BX59" s="135"/>
      <c r="BY59" s="135"/>
      <c r="BZ59" s="135"/>
      <c r="CA59" s="135"/>
      <c r="CB59" s="135"/>
      <c r="CC59" s="135"/>
      <c r="CD59" s="136"/>
    </row>
    <row r="60" spans="2:85" x14ac:dyDescent="0.2">
      <c r="B60" s="137" t="s">
        <v>11</v>
      </c>
      <c r="O60" s="131"/>
      <c r="P60" s="131"/>
      <c r="Q60" s="131"/>
      <c r="R60" s="131"/>
      <c r="S60" s="131"/>
      <c r="T60" s="131"/>
      <c r="U60" s="131"/>
      <c r="V60" s="131"/>
      <c r="W60" s="131"/>
      <c r="X60" s="131"/>
      <c r="Y60" s="131"/>
      <c r="Z60" s="131"/>
      <c r="AA60" s="131"/>
      <c r="AB60" s="458"/>
      <c r="AC60" s="272"/>
      <c r="AD60" s="272"/>
      <c r="AE60" s="272"/>
      <c r="AF60" s="265"/>
      <c r="AG60" s="265"/>
      <c r="AH60" s="265"/>
      <c r="AI60" s="265"/>
      <c r="AJ60" s="267"/>
      <c r="AK60" s="267"/>
      <c r="AL60" s="267"/>
      <c r="AM60" s="267"/>
      <c r="AN60" s="267"/>
      <c r="AO60" s="267"/>
      <c r="AP60" s="267"/>
      <c r="AQ60" s="131"/>
      <c r="AR60" s="271"/>
      <c r="AS60" s="271"/>
      <c r="AT60" s="271"/>
      <c r="AU60" s="271"/>
      <c r="AV60" s="271"/>
      <c r="AW60" s="271"/>
      <c r="AX60" s="274"/>
      <c r="AY60" s="274"/>
      <c r="AZ60" s="274"/>
      <c r="BA60" s="274"/>
      <c r="BB60" s="274"/>
      <c r="BC60" s="273"/>
      <c r="BD60" s="273"/>
      <c r="BE60" s="273"/>
      <c r="BF60" s="273"/>
      <c r="BG60" s="273"/>
      <c r="BH60" s="273"/>
      <c r="BI60" s="266"/>
      <c r="BJ60" s="266"/>
      <c r="BK60" s="266"/>
      <c r="BL60" s="266"/>
      <c r="BM60" s="266"/>
      <c r="BN60" s="277"/>
      <c r="BO60" s="277"/>
      <c r="BP60" s="277"/>
      <c r="BQ60" s="275"/>
      <c r="BR60" s="275"/>
      <c r="BS60" s="275"/>
      <c r="BT60" s="275"/>
      <c r="BU60" s="278"/>
      <c r="BV60" s="278"/>
      <c r="BW60" s="278"/>
      <c r="BX60" s="278"/>
      <c r="BY60" s="269"/>
      <c r="BZ60" s="269"/>
      <c r="CA60" s="269"/>
      <c r="CB60" s="269"/>
      <c r="CC60" s="269"/>
      <c r="CD60" s="269"/>
    </row>
    <row r="61" spans="2:85" ht="3.95" customHeight="1" x14ac:dyDescent="0.2">
      <c r="B61" s="134"/>
      <c r="C61" s="135"/>
      <c r="D61" s="135"/>
      <c r="E61" s="135"/>
      <c r="F61" s="135"/>
      <c r="G61" s="135"/>
      <c r="H61" s="135"/>
      <c r="I61" s="135"/>
      <c r="J61" s="135"/>
      <c r="K61" s="135"/>
      <c r="L61" s="135"/>
      <c r="M61" s="135"/>
      <c r="N61" s="135"/>
      <c r="O61" s="135"/>
      <c r="P61" s="135"/>
      <c r="Q61" s="135"/>
      <c r="R61" s="135"/>
      <c r="S61" s="135"/>
      <c r="T61" s="135"/>
      <c r="U61" s="135"/>
      <c r="V61" s="135"/>
      <c r="W61" s="135"/>
      <c r="X61" s="135"/>
      <c r="Y61" s="135"/>
      <c r="Z61" s="135"/>
      <c r="AA61" s="135"/>
      <c r="AB61" s="434"/>
      <c r="AC61" s="135"/>
      <c r="AD61" s="135"/>
      <c r="AE61" s="135"/>
      <c r="AF61" s="135"/>
      <c r="AG61" s="135"/>
      <c r="AH61" s="135"/>
      <c r="AI61" s="135"/>
      <c r="AJ61" s="135"/>
      <c r="AK61" s="135"/>
      <c r="AL61" s="135"/>
      <c r="AM61" s="135"/>
      <c r="AN61" s="135"/>
      <c r="AO61" s="135"/>
      <c r="AP61" s="135"/>
      <c r="AQ61" s="135"/>
      <c r="AR61" s="135"/>
      <c r="AS61" s="135"/>
      <c r="AT61" s="135"/>
      <c r="AU61" s="135"/>
      <c r="AV61" s="135"/>
      <c r="AW61" s="135"/>
      <c r="AX61" s="135"/>
      <c r="AY61" s="135"/>
      <c r="AZ61" s="135"/>
      <c r="BA61" s="135"/>
      <c r="BB61" s="135"/>
      <c r="BC61" s="135"/>
      <c r="BD61" s="135"/>
      <c r="BE61" s="135"/>
      <c r="BF61" s="135"/>
      <c r="BG61" s="135"/>
      <c r="BH61" s="135"/>
      <c r="BI61" s="135"/>
      <c r="BJ61" s="135"/>
      <c r="BK61" s="135"/>
      <c r="BL61" s="135"/>
      <c r="BM61" s="135"/>
      <c r="BN61" s="135"/>
      <c r="BO61" s="135"/>
      <c r="BP61" s="135"/>
      <c r="BQ61" s="135"/>
      <c r="BR61" s="135"/>
      <c r="BS61" s="135"/>
      <c r="BT61" s="135"/>
      <c r="BU61" s="135"/>
      <c r="BV61" s="135"/>
      <c r="BW61" s="135"/>
      <c r="BX61" s="135"/>
      <c r="BY61" s="135"/>
      <c r="BZ61" s="135"/>
      <c r="CA61" s="135"/>
      <c r="CB61" s="135"/>
      <c r="CC61" s="135"/>
      <c r="CD61" s="136"/>
    </row>
    <row r="62" spans="2:85" x14ac:dyDescent="0.2">
      <c r="B62" s="137" t="s">
        <v>12</v>
      </c>
      <c r="AB62" s="433"/>
      <c r="AC62" s="131"/>
      <c r="AD62" s="131"/>
      <c r="AE62" s="131"/>
      <c r="AF62" s="272"/>
      <c r="AG62" s="272"/>
      <c r="AH62" s="271"/>
      <c r="AI62" s="271"/>
      <c r="AJ62" s="271"/>
      <c r="AK62" s="271"/>
      <c r="AL62" s="276"/>
      <c r="AM62" s="276"/>
      <c r="AN62" s="276"/>
      <c r="AO62" s="276"/>
      <c r="AP62" s="276"/>
      <c r="AQ62" s="267"/>
      <c r="AR62" s="267"/>
      <c r="AS62" s="267"/>
      <c r="AT62" s="267"/>
      <c r="AU62" s="267"/>
      <c r="AV62" s="267"/>
      <c r="AW62" s="270"/>
      <c r="AX62" s="270"/>
      <c r="AY62" s="270"/>
      <c r="AZ62" s="270"/>
      <c r="BA62" s="270"/>
      <c r="BB62" s="270"/>
      <c r="BC62" s="274"/>
      <c r="BD62" s="274"/>
      <c r="BE62" s="274"/>
      <c r="BF62" s="274"/>
      <c r="BG62" s="274"/>
      <c r="BH62" s="274"/>
      <c r="BI62" s="273"/>
      <c r="BJ62" s="273"/>
      <c r="BK62" s="273"/>
      <c r="BL62" s="273"/>
      <c r="BM62" s="273"/>
      <c r="BN62" s="273"/>
      <c r="BO62" s="278"/>
      <c r="BP62" s="278"/>
      <c r="BQ62" s="278"/>
      <c r="BR62" s="278"/>
      <c r="BS62" s="278"/>
      <c r="BT62" s="278"/>
      <c r="BU62" s="266"/>
      <c r="BV62" s="266"/>
      <c r="BW62" s="266"/>
      <c r="BX62" s="266"/>
      <c r="BY62" s="266"/>
      <c r="BZ62" s="266"/>
      <c r="CA62" s="277"/>
      <c r="CB62" s="277"/>
      <c r="CC62" s="277"/>
      <c r="CD62" s="277"/>
    </row>
    <row r="63" spans="2:85" ht="3.95" customHeight="1" thickBot="1" x14ac:dyDescent="0.25">
      <c r="B63" s="138"/>
      <c r="C63" s="139"/>
      <c r="D63" s="139"/>
      <c r="E63" s="139"/>
      <c r="F63" s="139"/>
      <c r="G63" s="139"/>
      <c r="H63" s="139"/>
      <c r="I63" s="139"/>
      <c r="J63" s="139"/>
      <c r="K63" s="139"/>
      <c r="L63" s="139"/>
      <c r="M63" s="139"/>
      <c r="N63" s="139"/>
      <c r="O63" s="139"/>
      <c r="P63" s="139"/>
      <c r="Q63" s="139"/>
      <c r="R63" s="139"/>
      <c r="S63" s="139"/>
      <c r="T63" s="139"/>
      <c r="U63" s="139"/>
      <c r="V63" s="139"/>
      <c r="W63" s="139"/>
      <c r="X63" s="139"/>
      <c r="Y63" s="139"/>
      <c r="Z63" s="139"/>
      <c r="AA63" s="139"/>
      <c r="AB63" s="139"/>
      <c r="AC63" s="139"/>
      <c r="AD63" s="139"/>
      <c r="AE63" s="139"/>
      <c r="AF63" s="139"/>
      <c r="AG63" s="139"/>
      <c r="AH63" s="139"/>
      <c r="AI63" s="139"/>
      <c r="AJ63" s="139"/>
      <c r="AK63" s="139"/>
      <c r="AL63" s="139"/>
      <c r="AM63" s="139"/>
      <c r="AN63" s="139"/>
      <c r="AO63" s="139"/>
      <c r="AP63" s="139"/>
      <c r="AQ63" s="139"/>
      <c r="AR63" s="139"/>
      <c r="AS63" s="139"/>
      <c r="AT63" s="139"/>
      <c r="AU63" s="139"/>
      <c r="AV63" s="139"/>
      <c r="AW63" s="139"/>
      <c r="AX63" s="139"/>
      <c r="AY63" s="139"/>
      <c r="AZ63" s="139"/>
      <c r="BA63" s="139"/>
      <c r="BB63" s="139"/>
      <c r="BC63" s="139"/>
      <c r="BD63" s="139"/>
      <c r="BE63" s="139"/>
      <c r="BF63" s="139"/>
      <c r="BG63" s="139"/>
      <c r="BH63" s="139"/>
      <c r="BI63" s="139"/>
      <c r="BJ63" s="139"/>
      <c r="BK63" s="139"/>
      <c r="BL63" s="139"/>
      <c r="BM63" s="139"/>
      <c r="BN63" s="139"/>
      <c r="BO63" s="139"/>
      <c r="BP63" s="139"/>
      <c r="BQ63" s="139"/>
      <c r="BR63" s="139"/>
      <c r="BS63" s="139"/>
      <c r="BT63" s="139"/>
      <c r="BU63" s="139"/>
      <c r="BV63" s="139"/>
      <c r="BW63" s="139"/>
      <c r="BX63" s="139"/>
      <c r="BY63" s="139"/>
      <c r="BZ63" s="139"/>
      <c r="CA63" s="139"/>
      <c r="CB63" s="139"/>
      <c r="CC63" s="139"/>
      <c r="CD63" s="140"/>
    </row>
    <row r="64" spans="2:85" ht="13.5" thickBot="1" x14ac:dyDescent="0.25"/>
    <row r="65" spans="2:85" ht="15.75" thickBot="1" x14ac:dyDescent="0.25">
      <c r="B65" s="122" t="s">
        <v>100</v>
      </c>
      <c r="C65" s="123"/>
      <c r="D65" s="123"/>
      <c r="E65" s="123"/>
      <c r="F65" s="123"/>
      <c r="G65" s="123"/>
      <c r="H65" s="123"/>
      <c r="I65" s="123"/>
      <c r="J65" s="123"/>
      <c r="K65" s="123"/>
      <c r="L65" s="123"/>
      <c r="M65" s="123"/>
      <c r="N65" s="123"/>
      <c r="O65" s="123"/>
      <c r="P65" s="123"/>
      <c r="Q65" s="123"/>
      <c r="R65" s="123"/>
      <c r="S65" s="123"/>
      <c r="T65" s="123"/>
      <c r="U65" s="123"/>
      <c r="V65" s="123"/>
      <c r="W65" s="123"/>
      <c r="X65" s="123"/>
      <c r="Y65" s="123"/>
      <c r="Z65" s="123"/>
      <c r="AA65" s="123"/>
      <c r="AB65" s="123"/>
      <c r="AC65" s="123"/>
      <c r="AD65" s="123"/>
      <c r="AE65" s="123"/>
      <c r="AF65" s="123"/>
      <c r="AG65" s="123"/>
      <c r="AH65" s="123"/>
      <c r="AI65" s="123"/>
      <c r="AJ65" s="123"/>
      <c r="AK65" s="123"/>
      <c r="AL65" s="123"/>
      <c r="AM65" s="123"/>
      <c r="AN65" s="123"/>
      <c r="AO65" s="123"/>
      <c r="AP65" s="123"/>
      <c r="AQ65" s="123"/>
      <c r="AR65" s="123"/>
      <c r="AS65" s="123"/>
      <c r="AT65" s="123"/>
      <c r="AU65" s="123"/>
      <c r="AV65" s="123"/>
      <c r="AW65" s="123"/>
      <c r="AX65" s="123"/>
      <c r="AY65" s="123"/>
      <c r="AZ65" s="123"/>
      <c r="BA65" s="123"/>
      <c r="BB65" s="123"/>
      <c r="BC65" s="123"/>
      <c r="BD65" s="123"/>
      <c r="BE65" s="123"/>
      <c r="BF65" s="123"/>
      <c r="BG65" s="123"/>
      <c r="BH65" s="123"/>
      <c r="BI65" s="123"/>
      <c r="BJ65" s="123"/>
      <c r="BK65" s="123"/>
      <c r="BL65" s="123"/>
      <c r="BM65" s="123"/>
      <c r="BN65" s="123"/>
      <c r="BO65" s="123"/>
      <c r="BP65" s="123"/>
      <c r="BQ65" s="123"/>
      <c r="BR65" s="123"/>
      <c r="BS65" s="123"/>
      <c r="BT65" s="123"/>
      <c r="BU65" s="123"/>
      <c r="BV65" s="123"/>
      <c r="BW65" s="123"/>
      <c r="BX65" s="123"/>
      <c r="BY65" s="123"/>
      <c r="BZ65" s="123"/>
      <c r="CA65" s="123"/>
      <c r="CB65" s="123"/>
      <c r="CC65" s="123"/>
      <c r="CD65" s="125"/>
    </row>
    <row r="66" spans="2:85" ht="13.5" thickBot="1" x14ac:dyDescent="0.25">
      <c r="B66" s="126"/>
      <c r="C66" s="129">
        <f>C$11</f>
        <v>1</v>
      </c>
      <c r="D66" s="128"/>
      <c r="E66" s="129">
        <f>E$11</f>
        <v>2</v>
      </c>
      <c r="F66" s="128"/>
      <c r="G66" s="129">
        <f>G$11</f>
        <v>3</v>
      </c>
      <c r="H66" s="128"/>
      <c r="I66" s="129">
        <f>I$11</f>
        <v>4</v>
      </c>
      <c r="J66" s="128"/>
      <c r="K66" s="129">
        <f>K$11</f>
        <v>5</v>
      </c>
      <c r="L66" s="128"/>
      <c r="M66" s="129">
        <f>M$11</f>
        <v>6</v>
      </c>
      <c r="N66" s="128"/>
      <c r="O66" s="129">
        <f>O$11</f>
        <v>7</v>
      </c>
      <c r="P66" s="128"/>
      <c r="Q66" s="129">
        <f>Q$11</f>
        <v>8</v>
      </c>
      <c r="R66" s="128"/>
      <c r="S66" s="129">
        <f>S$11</f>
        <v>9</v>
      </c>
      <c r="T66" s="128"/>
      <c r="U66" s="129">
        <f>U$11</f>
        <v>10</v>
      </c>
      <c r="V66" s="128"/>
      <c r="W66" s="129">
        <f>W$11</f>
        <v>11</v>
      </c>
      <c r="X66" s="128"/>
      <c r="Y66" s="129">
        <f>Y$11</f>
        <v>12</v>
      </c>
      <c r="Z66" s="128"/>
      <c r="AA66" s="129">
        <f>AA$11</f>
        <v>13</v>
      </c>
      <c r="AB66" s="128"/>
      <c r="AC66" s="129">
        <f>AC$11</f>
        <v>14</v>
      </c>
      <c r="AD66" s="128"/>
      <c r="AE66" s="129">
        <f>AE$11</f>
        <v>15</v>
      </c>
      <c r="AF66" s="128"/>
      <c r="AG66" s="129">
        <f>AG$11</f>
        <v>16</v>
      </c>
      <c r="AH66" s="128"/>
      <c r="AI66" s="129">
        <f>AI$11</f>
        <v>17</v>
      </c>
      <c r="AJ66" s="128"/>
      <c r="AK66" s="129">
        <f>AK$11</f>
        <v>18</v>
      </c>
      <c r="AL66" s="128"/>
      <c r="AM66" s="129">
        <f>AM$11</f>
        <v>19</v>
      </c>
      <c r="AN66" s="128"/>
      <c r="AO66" s="129">
        <f>AO$11</f>
        <v>20</v>
      </c>
      <c r="AP66" s="128"/>
      <c r="AQ66" s="129">
        <f>AQ$11</f>
        <v>21</v>
      </c>
      <c r="AR66" s="128"/>
      <c r="AS66" s="129">
        <f>AS$11</f>
        <v>22</v>
      </c>
      <c r="AT66" s="128"/>
      <c r="AU66" s="129">
        <f>AU$11</f>
        <v>23</v>
      </c>
      <c r="AV66" s="128"/>
      <c r="AW66" s="129">
        <f t="shared" ref="AW66:BG66" si="8">AW$11</f>
        <v>24</v>
      </c>
      <c r="AX66" s="128"/>
      <c r="AY66" s="129">
        <f t="shared" si="8"/>
        <v>25</v>
      </c>
      <c r="AZ66" s="128"/>
      <c r="BA66" s="129">
        <f t="shared" si="8"/>
        <v>26</v>
      </c>
      <c r="BB66" s="128"/>
      <c r="BC66" s="129">
        <f t="shared" si="8"/>
        <v>27</v>
      </c>
      <c r="BD66" s="128"/>
      <c r="BE66" s="129">
        <f t="shared" si="8"/>
        <v>28</v>
      </c>
      <c r="BF66" s="128"/>
      <c r="BG66" s="129">
        <f t="shared" si="8"/>
        <v>29</v>
      </c>
      <c r="BH66" s="128"/>
      <c r="BI66" s="129">
        <f>BI$11</f>
        <v>30</v>
      </c>
      <c r="BJ66" s="128"/>
      <c r="BK66" s="129">
        <f t="shared" ref="BK66:CA66" si="9">BK$11</f>
        <v>31</v>
      </c>
      <c r="BL66" s="128"/>
      <c r="BM66" s="129">
        <f t="shared" si="9"/>
        <v>32</v>
      </c>
      <c r="BN66" s="128"/>
      <c r="BO66" s="129">
        <f t="shared" si="9"/>
        <v>33</v>
      </c>
      <c r="BP66" s="128"/>
      <c r="BQ66" s="129">
        <f t="shared" si="9"/>
        <v>34</v>
      </c>
      <c r="BR66" s="128"/>
      <c r="BS66" s="129">
        <f t="shared" si="9"/>
        <v>35</v>
      </c>
      <c r="BT66" s="128"/>
      <c r="BU66" s="129">
        <f t="shared" si="9"/>
        <v>36</v>
      </c>
      <c r="BV66" s="128"/>
      <c r="BW66" s="129">
        <f t="shared" si="9"/>
        <v>37</v>
      </c>
      <c r="BX66" s="128"/>
      <c r="BY66" s="129">
        <f t="shared" si="9"/>
        <v>38</v>
      </c>
      <c r="BZ66" s="128"/>
      <c r="CA66" s="129">
        <f t="shared" si="9"/>
        <v>39</v>
      </c>
      <c r="CB66" s="128"/>
      <c r="CC66" s="129">
        <f>CC$11</f>
        <v>40</v>
      </c>
      <c r="CD66" s="130"/>
    </row>
    <row r="67" spans="2:85" x14ac:dyDescent="0.2">
      <c r="B67" s="137" t="s">
        <v>9</v>
      </c>
      <c r="C67" s="267"/>
      <c r="D67" s="267"/>
      <c r="E67" s="267"/>
      <c r="F67" s="267"/>
      <c r="G67" s="267"/>
      <c r="H67" s="270"/>
      <c r="I67" s="270"/>
      <c r="J67" s="270"/>
      <c r="K67" s="270"/>
      <c r="L67" s="268"/>
      <c r="M67" s="268"/>
      <c r="N67" s="268"/>
      <c r="O67" s="268"/>
      <c r="P67" s="268"/>
      <c r="Q67" s="268"/>
      <c r="R67" s="273"/>
      <c r="S67" s="273"/>
      <c r="T67" s="273"/>
      <c r="U67" s="273"/>
      <c r="V67" s="266"/>
      <c r="W67" s="266"/>
      <c r="X67" s="266"/>
      <c r="Y67" s="266"/>
      <c r="Z67" s="275"/>
      <c r="AA67" s="275"/>
      <c r="AB67" s="275"/>
      <c r="AC67" s="269"/>
      <c r="AD67" s="269"/>
      <c r="AE67" s="269"/>
      <c r="AF67" s="131"/>
      <c r="AG67" s="131"/>
      <c r="AH67" s="131"/>
      <c r="AI67" s="131"/>
      <c r="AJ67" s="131"/>
      <c r="AK67" s="131"/>
      <c r="AL67" s="132"/>
      <c r="AM67" s="132"/>
      <c r="AN67" s="142"/>
      <c r="AO67" s="132"/>
      <c r="AP67" s="132"/>
      <c r="AQ67" s="132"/>
      <c r="AR67" s="132"/>
      <c r="AS67" s="132"/>
      <c r="AT67" s="132"/>
      <c r="AU67" s="132"/>
      <c r="AV67" s="132"/>
      <c r="AW67" s="132"/>
      <c r="AX67" s="132"/>
      <c r="AY67" s="132"/>
      <c r="AZ67" s="132"/>
      <c r="BA67" s="132"/>
      <c r="BB67" s="132"/>
      <c r="BC67" s="132"/>
      <c r="BD67" s="132"/>
      <c r="BE67" s="293"/>
      <c r="BF67" s="132"/>
      <c r="BG67" s="132"/>
      <c r="CD67" s="143"/>
      <c r="CG67" s="414" t="s">
        <v>323</v>
      </c>
    </row>
    <row r="68" spans="2:85" ht="3.95" customHeight="1" x14ac:dyDescent="0.2">
      <c r="B68" s="134"/>
      <c r="C68" s="135"/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135"/>
      <c r="AC68" s="135"/>
      <c r="AD68" s="135"/>
      <c r="AE68" s="135"/>
      <c r="AF68" s="135"/>
      <c r="AG68" s="135"/>
      <c r="AH68" s="135"/>
      <c r="AI68" s="135"/>
      <c r="AJ68" s="135"/>
      <c r="AK68" s="135"/>
      <c r="AL68" s="135"/>
      <c r="AM68" s="135"/>
      <c r="AN68" s="135"/>
      <c r="AO68" s="135"/>
      <c r="AP68" s="135"/>
      <c r="AQ68" s="135"/>
      <c r="AR68" s="135"/>
      <c r="AS68" s="135"/>
      <c r="AT68" s="135"/>
      <c r="AU68" s="135"/>
      <c r="AV68" s="135"/>
      <c r="AW68" s="135"/>
      <c r="AX68" s="135"/>
      <c r="AY68" s="135"/>
      <c r="AZ68" s="135"/>
      <c r="BA68" s="135"/>
      <c r="BB68" s="135"/>
      <c r="BC68" s="135"/>
      <c r="BD68" s="135"/>
      <c r="BE68" s="294"/>
      <c r="BF68" s="135"/>
      <c r="BG68" s="135"/>
      <c r="BH68" s="135"/>
      <c r="BI68" s="135"/>
      <c r="BJ68" s="135"/>
      <c r="BK68" s="135"/>
      <c r="BL68" s="135"/>
      <c r="BM68" s="135"/>
      <c r="BN68" s="135"/>
      <c r="BO68" s="135"/>
      <c r="BP68" s="135"/>
      <c r="BQ68" s="135"/>
      <c r="BR68" s="135"/>
      <c r="BS68" s="135"/>
      <c r="BT68" s="135"/>
      <c r="BU68" s="135"/>
      <c r="BV68" s="135"/>
      <c r="BW68" s="135"/>
      <c r="BX68" s="135"/>
      <c r="BY68" s="135"/>
      <c r="BZ68" s="135"/>
      <c r="CA68" s="135"/>
      <c r="CB68" s="135"/>
      <c r="CC68" s="135"/>
      <c r="CD68" s="136"/>
    </row>
    <row r="69" spans="2:85" x14ac:dyDescent="0.2">
      <c r="B69" s="137" t="s">
        <v>10</v>
      </c>
      <c r="C69" s="276"/>
      <c r="D69" s="276"/>
      <c r="E69" s="276"/>
      <c r="F69" s="276"/>
      <c r="G69" s="276"/>
      <c r="H69" s="276"/>
      <c r="L69" s="270"/>
      <c r="M69" s="270"/>
      <c r="N69" s="270"/>
      <c r="O69" s="270"/>
      <c r="P69" s="270"/>
      <c r="Q69" s="270"/>
      <c r="R69" s="270"/>
      <c r="S69" s="265"/>
      <c r="T69" s="265"/>
      <c r="U69" s="265"/>
      <c r="V69" s="265"/>
      <c r="W69" s="265"/>
      <c r="X69" s="265"/>
      <c r="Y69" s="265"/>
      <c r="Z69" s="265"/>
      <c r="AA69" s="268"/>
      <c r="AB69" s="268"/>
      <c r="AC69" s="268"/>
      <c r="AD69" s="268"/>
      <c r="AE69" s="268"/>
      <c r="AT69" s="131"/>
      <c r="AU69" s="131"/>
      <c r="AV69" s="131"/>
      <c r="AW69" s="131"/>
      <c r="AX69" s="131"/>
      <c r="AY69" s="131"/>
      <c r="AZ69" s="131"/>
      <c r="BA69" s="131"/>
      <c r="BE69" s="386"/>
      <c r="CD69" s="133"/>
    </row>
    <row r="70" spans="2:85" ht="3.95" customHeight="1" x14ac:dyDescent="0.2">
      <c r="B70" s="134"/>
      <c r="C70" s="135"/>
      <c r="D70" s="135"/>
      <c r="E70" s="135"/>
      <c r="F70" s="135"/>
      <c r="G70" s="135"/>
      <c r="H70" s="135"/>
      <c r="I70" s="135"/>
      <c r="J70" s="135"/>
      <c r="K70" s="135"/>
      <c r="L70" s="135"/>
      <c r="M70" s="135"/>
      <c r="N70" s="135"/>
      <c r="O70" s="135"/>
      <c r="P70" s="135"/>
      <c r="Q70" s="135"/>
      <c r="R70" s="135"/>
      <c r="S70" s="135"/>
      <c r="T70" s="135"/>
      <c r="U70" s="135"/>
      <c r="V70" s="135"/>
      <c r="W70" s="135"/>
      <c r="X70" s="135"/>
      <c r="Y70" s="135"/>
      <c r="Z70" s="135"/>
      <c r="AA70" s="135"/>
      <c r="AB70" s="135"/>
      <c r="AC70" s="135"/>
      <c r="AD70" s="135"/>
      <c r="AE70" s="135"/>
      <c r="AF70" s="135"/>
      <c r="AG70" s="135"/>
      <c r="AH70" s="135"/>
      <c r="AI70" s="135"/>
      <c r="AJ70" s="135"/>
      <c r="AK70" s="135"/>
      <c r="AL70" s="135"/>
      <c r="AM70" s="135"/>
      <c r="AN70" s="135"/>
      <c r="AO70" s="135"/>
      <c r="AP70" s="135"/>
      <c r="AQ70" s="135"/>
      <c r="AR70" s="135"/>
      <c r="AS70" s="135"/>
      <c r="AT70" s="135"/>
      <c r="AU70" s="135"/>
      <c r="AV70" s="135"/>
      <c r="AW70" s="135"/>
      <c r="AX70" s="135"/>
      <c r="AY70" s="135"/>
      <c r="AZ70" s="135"/>
      <c r="BA70" s="135"/>
      <c r="BB70" s="135"/>
      <c r="BC70" s="135"/>
      <c r="BD70" s="135"/>
      <c r="BE70" s="294"/>
      <c r="BF70" s="135"/>
      <c r="BG70" s="135"/>
      <c r="BH70" s="135"/>
      <c r="BI70" s="135"/>
      <c r="BJ70" s="135"/>
      <c r="BK70" s="135"/>
      <c r="BL70" s="135"/>
      <c r="BM70" s="135"/>
      <c r="BN70" s="135"/>
      <c r="BO70" s="135"/>
      <c r="BP70" s="135"/>
      <c r="BQ70" s="135"/>
      <c r="BR70" s="135"/>
      <c r="BS70" s="135"/>
      <c r="BT70" s="135"/>
      <c r="BU70" s="135"/>
      <c r="BV70" s="135"/>
      <c r="BW70" s="135"/>
      <c r="BX70" s="135"/>
      <c r="BY70" s="135"/>
      <c r="BZ70" s="135"/>
      <c r="CA70" s="135"/>
      <c r="CB70" s="135"/>
      <c r="CC70" s="135"/>
      <c r="CD70" s="136"/>
    </row>
    <row r="71" spans="2:85" x14ac:dyDescent="0.2">
      <c r="B71" s="137" t="s">
        <v>11</v>
      </c>
      <c r="C71" s="272"/>
      <c r="D71" s="272"/>
      <c r="E71" s="272"/>
      <c r="F71" s="272"/>
      <c r="G71" s="265"/>
      <c r="H71" s="265"/>
      <c r="I71" s="265"/>
      <c r="J71" s="265"/>
      <c r="K71" s="267"/>
      <c r="L71" s="267"/>
      <c r="M71" s="267"/>
      <c r="N71" s="267"/>
      <c r="O71" s="267"/>
      <c r="P71" s="267"/>
      <c r="Q71" s="267"/>
      <c r="R71" s="271"/>
      <c r="S71" s="271"/>
      <c r="T71" s="271"/>
      <c r="U71" s="271"/>
      <c r="V71" s="271"/>
      <c r="W71" s="271"/>
      <c r="X71" s="274"/>
      <c r="Y71" s="274"/>
      <c r="Z71" s="274"/>
      <c r="AA71" s="274"/>
      <c r="AB71" s="274"/>
      <c r="AC71" s="273"/>
      <c r="AD71" s="273"/>
      <c r="AE71" s="273"/>
      <c r="AF71" s="273"/>
      <c r="AG71" s="273"/>
      <c r="AH71" s="273"/>
      <c r="AI71" s="266"/>
      <c r="AJ71" s="266"/>
      <c r="AK71" s="266"/>
      <c r="AL71" s="266"/>
      <c r="AM71" s="266"/>
      <c r="AN71" s="277"/>
      <c r="AO71" s="277"/>
      <c r="AP71" s="277"/>
      <c r="AQ71" s="275"/>
      <c r="AR71" s="275"/>
      <c r="AS71" s="275"/>
      <c r="AT71" s="275"/>
      <c r="AV71" s="278"/>
      <c r="AW71" s="278"/>
      <c r="AX71" s="278"/>
      <c r="AY71" s="278"/>
      <c r="AZ71" s="269"/>
      <c r="BA71" s="269"/>
      <c r="BB71" s="269"/>
      <c r="BC71" s="269"/>
      <c r="BD71" s="269"/>
      <c r="BE71" s="459"/>
      <c r="BF71" s="131"/>
      <c r="CD71" s="133"/>
    </row>
    <row r="72" spans="2:85" ht="3.95" customHeight="1" x14ac:dyDescent="0.2">
      <c r="B72" s="134"/>
      <c r="C72" s="135"/>
      <c r="D72" s="135"/>
      <c r="E72" s="135"/>
      <c r="F72" s="135"/>
      <c r="G72" s="135"/>
      <c r="H72" s="135"/>
      <c r="I72" s="135"/>
      <c r="J72" s="135"/>
      <c r="K72" s="135"/>
      <c r="L72" s="135"/>
      <c r="M72" s="135"/>
      <c r="N72" s="135"/>
      <c r="O72" s="135"/>
      <c r="P72" s="135"/>
      <c r="Q72" s="135"/>
      <c r="R72" s="135"/>
      <c r="S72" s="135"/>
      <c r="T72" s="135"/>
      <c r="U72" s="135"/>
      <c r="V72" s="135"/>
      <c r="W72" s="135"/>
      <c r="X72" s="135"/>
      <c r="Y72" s="135"/>
      <c r="Z72" s="135"/>
      <c r="AA72" s="135"/>
      <c r="AB72" s="135"/>
      <c r="AC72" s="135"/>
      <c r="AD72" s="135"/>
      <c r="AE72" s="135"/>
      <c r="AF72" s="135"/>
      <c r="AG72" s="135"/>
      <c r="AH72" s="135"/>
      <c r="AI72" s="135"/>
      <c r="AJ72" s="135"/>
      <c r="AK72" s="135"/>
      <c r="AL72" s="135"/>
      <c r="AM72" s="135"/>
      <c r="AN72" s="135"/>
      <c r="AO72" s="135"/>
      <c r="AP72" s="135"/>
      <c r="AQ72" s="135"/>
      <c r="AR72" s="135"/>
      <c r="AS72" s="135"/>
      <c r="AT72" s="135"/>
      <c r="AU72" s="135"/>
      <c r="AV72" s="135"/>
      <c r="AW72" s="135"/>
      <c r="AX72" s="135"/>
      <c r="AY72" s="135"/>
      <c r="AZ72" s="135"/>
      <c r="BA72" s="135"/>
      <c r="BB72" s="135"/>
      <c r="BC72" s="135"/>
      <c r="BD72" s="135"/>
      <c r="BE72" s="294"/>
      <c r="BF72" s="135"/>
      <c r="BG72" s="135"/>
      <c r="BH72" s="135"/>
      <c r="BI72" s="135"/>
      <c r="BJ72" s="135"/>
      <c r="BK72" s="135"/>
      <c r="BL72" s="135"/>
      <c r="BM72" s="135"/>
      <c r="BN72" s="135"/>
      <c r="BO72" s="135"/>
      <c r="BP72" s="135"/>
      <c r="BQ72" s="135"/>
      <c r="BR72" s="135"/>
      <c r="BS72" s="135"/>
      <c r="BT72" s="135"/>
      <c r="BU72" s="135"/>
      <c r="BV72" s="135"/>
      <c r="BW72" s="135"/>
      <c r="BX72" s="135"/>
      <c r="BY72" s="135"/>
      <c r="BZ72" s="135"/>
      <c r="CA72" s="135"/>
      <c r="CB72" s="135"/>
      <c r="CC72" s="135"/>
      <c r="CD72" s="136"/>
    </row>
    <row r="73" spans="2:85" x14ac:dyDescent="0.2">
      <c r="B73" s="137" t="s">
        <v>12</v>
      </c>
      <c r="C73" s="271"/>
      <c r="D73" s="271"/>
      <c r="E73" s="271"/>
      <c r="F73" s="271"/>
      <c r="G73" s="272"/>
      <c r="H73" s="272"/>
      <c r="I73" s="276"/>
      <c r="J73" s="276"/>
      <c r="K73" s="276"/>
      <c r="L73" s="276"/>
      <c r="M73" s="276"/>
      <c r="R73" s="267"/>
      <c r="S73" s="267"/>
      <c r="T73" s="267"/>
      <c r="U73" s="267"/>
      <c r="V73" s="267"/>
      <c r="W73" s="267"/>
      <c r="X73" s="270"/>
      <c r="Y73" s="270"/>
      <c r="Z73" s="270"/>
      <c r="AA73" s="270"/>
      <c r="AB73" s="270"/>
      <c r="AC73" s="270"/>
      <c r="AD73" s="274"/>
      <c r="AE73" s="274"/>
      <c r="AF73" s="274"/>
      <c r="AG73" s="274"/>
      <c r="AH73" s="274"/>
      <c r="AI73" s="274"/>
      <c r="AJ73" s="273"/>
      <c r="AK73" s="273"/>
      <c r="AL73" s="273"/>
      <c r="AM73" s="273"/>
      <c r="AN73" s="273"/>
      <c r="AO73" s="273"/>
      <c r="AP73" s="278"/>
      <c r="AQ73" s="278"/>
      <c r="AR73" s="278"/>
      <c r="AS73" s="278"/>
      <c r="AT73" s="278"/>
      <c r="AU73" s="278"/>
      <c r="AV73" s="266"/>
      <c r="AW73" s="266"/>
      <c r="AX73" s="266"/>
      <c r="AY73" s="266"/>
      <c r="AZ73" s="266"/>
      <c r="BA73" s="266"/>
      <c r="BB73" s="277"/>
      <c r="BC73" s="277"/>
      <c r="BD73" s="277"/>
      <c r="BE73" s="460"/>
      <c r="BF73" s="131"/>
      <c r="BG73" s="131"/>
      <c r="CD73" s="133"/>
    </row>
    <row r="74" spans="2:85" ht="3.95" customHeight="1" thickBot="1" x14ac:dyDescent="0.25">
      <c r="B74" s="138"/>
      <c r="C74" s="139"/>
      <c r="D74" s="139"/>
      <c r="E74" s="139"/>
      <c r="F74" s="139"/>
      <c r="G74" s="139"/>
      <c r="H74" s="139"/>
      <c r="I74" s="139"/>
      <c r="J74" s="139"/>
      <c r="K74" s="139"/>
      <c r="L74" s="139"/>
      <c r="M74" s="139"/>
      <c r="N74" s="139"/>
      <c r="O74" s="139"/>
      <c r="P74" s="139"/>
      <c r="Q74" s="139"/>
      <c r="R74" s="139"/>
      <c r="S74" s="139"/>
      <c r="T74" s="139"/>
      <c r="U74" s="139"/>
      <c r="V74" s="139"/>
      <c r="W74" s="139"/>
      <c r="X74" s="139"/>
      <c r="Y74" s="139"/>
      <c r="Z74" s="139"/>
      <c r="AA74" s="139"/>
      <c r="AB74" s="139"/>
      <c r="AC74" s="139"/>
      <c r="AD74" s="139"/>
      <c r="AE74" s="139"/>
      <c r="AF74" s="139"/>
      <c r="AG74" s="139"/>
      <c r="AH74" s="139"/>
      <c r="AI74" s="139"/>
      <c r="AJ74" s="139"/>
      <c r="AK74" s="139"/>
      <c r="AL74" s="139"/>
      <c r="AM74" s="139"/>
      <c r="AN74" s="139"/>
      <c r="AO74" s="139"/>
      <c r="AP74" s="139"/>
      <c r="AQ74" s="139"/>
      <c r="AR74" s="139"/>
      <c r="AS74" s="139"/>
      <c r="AT74" s="139"/>
      <c r="AU74" s="139"/>
      <c r="AV74" s="139"/>
      <c r="AW74" s="139"/>
      <c r="AX74" s="139"/>
      <c r="AY74" s="139"/>
      <c r="AZ74" s="139"/>
      <c r="BA74" s="139"/>
      <c r="BB74" s="139"/>
      <c r="BC74" s="139"/>
      <c r="BD74" s="139"/>
      <c r="BE74" s="295"/>
      <c r="BF74" s="139"/>
      <c r="BG74" s="139"/>
      <c r="BH74" s="139"/>
      <c r="BI74" s="139"/>
      <c r="BJ74" s="139"/>
      <c r="BK74" s="139"/>
      <c r="BL74" s="139"/>
      <c r="BM74" s="139"/>
      <c r="BN74" s="139"/>
      <c r="BO74" s="139"/>
      <c r="BP74" s="139"/>
      <c r="BQ74" s="139"/>
      <c r="BR74" s="139"/>
      <c r="BS74" s="139"/>
      <c r="BT74" s="139"/>
      <c r="BU74" s="139"/>
      <c r="BV74" s="139"/>
      <c r="BW74" s="139"/>
      <c r="BX74" s="139"/>
      <c r="BY74" s="139"/>
      <c r="BZ74" s="139"/>
      <c r="CA74" s="139"/>
      <c r="CB74" s="139"/>
      <c r="CC74" s="139"/>
      <c r="CD74" s="140"/>
    </row>
    <row r="75" spans="2:85" ht="13.5" thickBot="1" x14ac:dyDescent="0.25"/>
    <row r="76" spans="2:85" ht="15.75" thickBot="1" x14ac:dyDescent="0.25">
      <c r="B76" s="122" t="s">
        <v>177</v>
      </c>
      <c r="C76" s="123"/>
      <c r="D76" s="123"/>
      <c r="E76" s="123"/>
      <c r="F76" s="123"/>
      <c r="G76" s="123"/>
      <c r="H76" s="123"/>
      <c r="I76" s="123"/>
      <c r="J76" s="123"/>
      <c r="K76" s="123"/>
      <c r="L76" s="123"/>
      <c r="M76" s="123"/>
      <c r="N76" s="123"/>
      <c r="O76" s="123"/>
      <c r="P76" s="123"/>
      <c r="Q76" s="123"/>
      <c r="R76" s="123"/>
      <c r="S76" s="123"/>
      <c r="T76" s="123"/>
      <c r="U76" s="123"/>
      <c r="V76" s="123"/>
      <c r="W76" s="123"/>
      <c r="X76" s="123"/>
      <c r="Y76" s="664" t="s">
        <v>283</v>
      </c>
      <c r="Z76" s="664"/>
      <c r="AA76" s="664"/>
      <c r="AB76" s="664"/>
      <c r="AC76" s="664"/>
      <c r="AD76" s="664"/>
      <c r="AE76" s="664"/>
      <c r="AF76" s="664"/>
      <c r="AG76" s="664"/>
      <c r="AH76" s="664"/>
      <c r="AI76" s="664"/>
      <c r="AJ76" s="664"/>
      <c r="AK76" s="664"/>
      <c r="AL76" s="664"/>
      <c r="AM76" s="664"/>
      <c r="AN76" s="664"/>
      <c r="AO76" s="664"/>
      <c r="AP76" s="664"/>
      <c r="AQ76" s="664"/>
      <c r="AR76" s="664"/>
      <c r="AS76" s="664"/>
      <c r="AT76" s="664"/>
      <c r="AU76" s="664"/>
      <c r="AV76" s="664"/>
      <c r="AW76" s="664"/>
      <c r="AX76" s="664"/>
      <c r="AY76" s="664"/>
      <c r="AZ76" s="664"/>
      <c r="BA76" s="664"/>
      <c r="BB76" s="664"/>
      <c r="BC76" s="664"/>
      <c r="BD76" s="664"/>
      <c r="BE76" s="664"/>
      <c r="BF76" s="664"/>
      <c r="BG76" s="664"/>
      <c r="BH76" s="664"/>
      <c r="BI76" s="664"/>
      <c r="BJ76" s="664"/>
      <c r="BK76" s="664"/>
      <c r="BL76" s="664"/>
      <c r="BM76" s="664"/>
      <c r="BN76" s="664"/>
      <c r="BO76" s="664"/>
      <c r="BP76" s="664"/>
      <c r="BQ76" s="664"/>
      <c r="BR76" s="664"/>
      <c r="BS76" s="664"/>
      <c r="BT76" s="664"/>
      <c r="BU76" s="664"/>
      <c r="BV76" s="664"/>
      <c r="BW76" s="664"/>
      <c r="BX76" s="664"/>
      <c r="BY76" s="664"/>
      <c r="BZ76" s="664"/>
      <c r="CA76" s="664"/>
      <c r="CB76" s="664"/>
      <c r="CC76" s="664"/>
      <c r="CD76" s="665"/>
    </row>
    <row r="77" spans="2:85" ht="13.5" thickBot="1" x14ac:dyDescent="0.25">
      <c r="B77" s="126"/>
      <c r="C77" s="417">
        <f>C$11</f>
        <v>1</v>
      </c>
      <c r="D77" s="418"/>
      <c r="E77" s="417">
        <f>E$11</f>
        <v>2</v>
      </c>
      <c r="F77" s="418"/>
      <c r="G77" s="417">
        <f>G$11</f>
        <v>3</v>
      </c>
      <c r="H77" s="418"/>
      <c r="I77" s="417">
        <f>I$11</f>
        <v>4</v>
      </c>
      <c r="J77" s="418"/>
      <c r="K77" s="417">
        <f>K$11</f>
        <v>5</v>
      </c>
      <c r="L77" s="418"/>
      <c r="M77" s="417">
        <f>M$11</f>
        <v>6</v>
      </c>
      <c r="N77" s="418"/>
      <c r="O77" s="417">
        <f>O$11</f>
        <v>7</v>
      </c>
      <c r="P77" s="418"/>
      <c r="Q77" s="417">
        <f>Q$11</f>
        <v>8</v>
      </c>
      <c r="R77" s="418"/>
      <c r="S77" s="417">
        <f>S$11</f>
        <v>9</v>
      </c>
      <c r="T77" s="418"/>
      <c r="U77" s="417">
        <f>U$11</f>
        <v>10</v>
      </c>
      <c r="V77" s="418"/>
      <c r="W77" s="129">
        <f>W$11</f>
        <v>11</v>
      </c>
      <c r="X77" s="128"/>
      <c r="Y77" s="129">
        <f>Y$11</f>
        <v>12</v>
      </c>
      <c r="Z77" s="128"/>
      <c r="AA77" s="129">
        <f>AA$11</f>
        <v>13</v>
      </c>
      <c r="AB77" s="128"/>
      <c r="AC77" s="129">
        <f>AC$11</f>
        <v>14</v>
      </c>
      <c r="AD77" s="128"/>
      <c r="AE77" s="129">
        <f>AE$11</f>
        <v>15</v>
      </c>
      <c r="AF77" s="418"/>
      <c r="AG77" s="417">
        <f>AG$11</f>
        <v>16</v>
      </c>
      <c r="AH77" s="418"/>
      <c r="AI77" s="129">
        <f>AI$11</f>
        <v>17</v>
      </c>
      <c r="AJ77" s="290"/>
      <c r="AK77" s="127">
        <f>AK$11</f>
        <v>18</v>
      </c>
      <c r="AL77" s="128"/>
      <c r="AM77" s="129">
        <f>AM$11</f>
        <v>19</v>
      </c>
      <c r="AN77" s="128"/>
      <c r="AO77" s="129">
        <f>AO$11</f>
        <v>20</v>
      </c>
      <c r="AP77" s="128"/>
      <c r="AQ77" s="129">
        <f>AQ$11</f>
        <v>21</v>
      </c>
      <c r="AR77" s="128"/>
      <c r="AS77" s="129">
        <f>AS$11</f>
        <v>22</v>
      </c>
      <c r="AT77" s="128"/>
      <c r="AU77" s="129">
        <f>AU$11</f>
        <v>23</v>
      </c>
      <c r="AV77" s="128"/>
      <c r="AW77" s="129">
        <f t="shared" ref="AW77:BG77" si="10">AW$11</f>
        <v>24</v>
      </c>
      <c r="AX77" s="128"/>
      <c r="AY77" s="129">
        <f t="shared" si="10"/>
        <v>25</v>
      </c>
      <c r="AZ77" s="128"/>
      <c r="BA77" s="129">
        <f t="shared" si="10"/>
        <v>26</v>
      </c>
      <c r="BB77" s="128"/>
      <c r="BC77" s="129">
        <f t="shared" si="10"/>
        <v>27</v>
      </c>
      <c r="BD77" s="128"/>
      <c r="BE77" s="129">
        <f t="shared" si="10"/>
        <v>28</v>
      </c>
      <c r="BF77" s="128"/>
      <c r="BG77" s="129">
        <f t="shared" si="10"/>
        <v>29</v>
      </c>
      <c r="BH77" s="128"/>
      <c r="BI77" s="129">
        <f>BI$11</f>
        <v>30</v>
      </c>
      <c r="BJ77" s="128"/>
      <c r="BK77" s="129">
        <f t="shared" ref="BK77:CA77" si="11">BK$11</f>
        <v>31</v>
      </c>
      <c r="BL77" s="128"/>
      <c r="BM77" s="129">
        <f t="shared" si="11"/>
        <v>32</v>
      </c>
      <c r="BN77" s="128"/>
      <c r="BO77" s="129">
        <f t="shared" si="11"/>
        <v>33</v>
      </c>
      <c r="BP77" s="128"/>
      <c r="BQ77" s="129">
        <f t="shared" si="11"/>
        <v>34</v>
      </c>
      <c r="BR77" s="128"/>
      <c r="BS77" s="129">
        <f t="shared" si="11"/>
        <v>35</v>
      </c>
      <c r="BT77" s="128"/>
      <c r="BU77" s="129">
        <f t="shared" si="11"/>
        <v>36</v>
      </c>
      <c r="BV77" s="128"/>
      <c r="BW77" s="129">
        <f t="shared" si="11"/>
        <v>37</v>
      </c>
      <c r="BX77" s="128"/>
      <c r="BY77" s="129">
        <f t="shared" si="11"/>
        <v>38</v>
      </c>
      <c r="BZ77" s="128"/>
      <c r="CA77" s="129">
        <f t="shared" si="11"/>
        <v>39</v>
      </c>
      <c r="CB77" s="128"/>
      <c r="CC77" s="129">
        <f>CC$11</f>
        <v>40</v>
      </c>
      <c r="CD77" s="130"/>
    </row>
    <row r="78" spans="2:85" x14ac:dyDescent="0.2">
      <c r="B78" s="428" t="s">
        <v>218</v>
      </c>
      <c r="C78" s="429"/>
      <c r="D78" s="429"/>
      <c r="E78" s="429"/>
      <c r="F78" s="429"/>
      <c r="G78" s="429"/>
      <c r="H78" s="430"/>
      <c r="I78" s="430"/>
      <c r="J78" s="430"/>
      <c r="K78" s="430"/>
      <c r="L78" s="431"/>
      <c r="M78" s="431"/>
      <c r="N78" s="431"/>
      <c r="O78" s="431"/>
      <c r="P78" s="432"/>
      <c r="Q78" s="385"/>
      <c r="R78" s="385"/>
      <c r="S78" s="385"/>
      <c r="T78" s="132"/>
      <c r="U78" s="132"/>
      <c r="V78" s="132"/>
      <c r="AC78" s="131"/>
      <c r="AD78" s="131"/>
      <c r="AE78" s="131"/>
      <c r="AF78" s="385"/>
      <c r="AG78" s="439"/>
      <c r="AH78" s="385"/>
      <c r="AI78" s="131"/>
      <c r="AJ78" s="385"/>
      <c r="AK78" s="131"/>
      <c r="AL78" s="132"/>
      <c r="AM78" s="132"/>
      <c r="AN78" s="142"/>
      <c r="AO78" s="132"/>
      <c r="AP78" s="132"/>
      <c r="AQ78" s="132"/>
      <c r="AR78" s="132"/>
      <c r="AS78" s="132"/>
      <c r="AT78" s="132"/>
      <c r="AU78" s="132"/>
      <c r="AV78" s="132"/>
      <c r="AW78" s="132"/>
      <c r="AX78" s="132"/>
      <c r="AY78" s="132"/>
      <c r="AZ78" s="132"/>
      <c r="BA78" s="132"/>
      <c r="BB78" s="132"/>
      <c r="BC78" s="132"/>
      <c r="BD78" s="132"/>
      <c r="BE78" s="132"/>
      <c r="BF78" s="132"/>
      <c r="BG78" s="132"/>
      <c r="CD78" s="143"/>
      <c r="CF78" s="414"/>
    </row>
    <row r="79" spans="2:85" ht="3.95" customHeight="1" thickBot="1" x14ac:dyDescent="0.25">
      <c r="B79" s="280"/>
      <c r="C79" s="135"/>
      <c r="D79" s="135"/>
      <c r="E79" s="135"/>
      <c r="F79" s="135"/>
      <c r="G79" s="135"/>
      <c r="H79" s="135"/>
      <c r="I79" s="135"/>
      <c r="J79" s="135"/>
      <c r="K79" s="135"/>
      <c r="L79" s="135"/>
      <c r="M79" s="135"/>
      <c r="N79" s="135"/>
      <c r="O79" s="135"/>
      <c r="P79" s="135"/>
      <c r="Q79" s="135"/>
      <c r="R79" s="135"/>
      <c r="S79" s="135"/>
      <c r="T79" s="135"/>
      <c r="U79" s="135"/>
      <c r="V79" s="135"/>
      <c r="W79" s="135"/>
      <c r="X79" s="135"/>
      <c r="Y79" s="135"/>
      <c r="Z79" s="135"/>
      <c r="AA79" s="135"/>
      <c r="AB79" s="135"/>
      <c r="AC79" s="135"/>
      <c r="AD79" s="135"/>
      <c r="AE79" s="135"/>
      <c r="AF79" s="135"/>
      <c r="AG79" s="434"/>
      <c r="AH79" s="135"/>
      <c r="AI79" s="135"/>
      <c r="AJ79" s="135"/>
      <c r="AK79" s="135"/>
      <c r="AL79" s="135"/>
      <c r="AM79" s="135"/>
      <c r="AN79" s="135"/>
      <c r="AO79" s="135"/>
      <c r="AP79" s="135"/>
      <c r="AQ79" s="135"/>
      <c r="AR79" s="135"/>
      <c r="AS79" s="135"/>
      <c r="AT79" s="135"/>
      <c r="AU79" s="135"/>
      <c r="AV79" s="135"/>
      <c r="AW79" s="135"/>
      <c r="AX79" s="135"/>
      <c r="AY79" s="135"/>
      <c r="AZ79" s="135"/>
      <c r="BA79" s="135"/>
      <c r="BB79" s="135"/>
      <c r="BC79" s="135"/>
      <c r="BD79" s="135"/>
      <c r="BE79" s="135"/>
      <c r="BF79" s="135"/>
      <c r="BG79" s="135"/>
      <c r="BH79" s="135"/>
      <c r="BI79" s="135"/>
      <c r="BJ79" s="135"/>
      <c r="BK79" s="135"/>
      <c r="BL79" s="135"/>
      <c r="BM79" s="135"/>
      <c r="BN79" s="135"/>
      <c r="BO79" s="135"/>
      <c r="BP79" s="135"/>
      <c r="BQ79" s="135"/>
      <c r="BR79" s="135"/>
      <c r="BS79" s="135"/>
      <c r="BT79" s="135"/>
      <c r="BU79" s="135"/>
      <c r="BV79" s="135"/>
      <c r="BW79" s="135"/>
      <c r="BX79" s="135"/>
      <c r="BY79" s="135"/>
      <c r="BZ79" s="135"/>
      <c r="CA79" s="135"/>
      <c r="CB79" s="135"/>
      <c r="CC79" s="135"/>
      <c r="CD79" s="136"/>
    </row>
    <row r="80" spans="2:85" ht="13.5" thickBot="1" x14ac:dyDescent="0.25">
      <c r="B80" s="428" t="s">
        <v>223</v>
      </c>
      <c r="C80" s="270"/>
      <c r="D80" s="270"/>
      <c r="E80" s="270"/>
      <c r="F80" s="270"/>
      <c r="G80" s="268"/>
      <c r="H80" s="268"/>
      <c r="I80" s="268"/>
      <c r="J80" s="268"/>
      <c r="K80" s="268"/>
      <c r="L80" s="268"/>
      <c r="M80" s="275"/>
      <c r="N80" s="275"/>
      <c r="O80" s="275"/>
      <c r="P80" s="588"/>
      <c r="Q80" s="589"/>
      <c r="R80" s="590"/>
      <c r="S80" s="131"/>
      <c r="T80" s="131"/>
      <c r="U80" s="131"/>
      <c r="V80" s="131"/>
      <c r="W80" s="131"/>
      <c r="X80" s="131"/>
      <c r="Y80" s="131"/>
      <c r="Z80" s="131"/>
      <c r="AA80" s="131"/>
      <c r="AB80" s="131"/>
      <c r="AC80" s="131"/>
      <c r="AD80" s="131"/>
      <c r="AE80" s="131"/>
      <c r="AF80" s="131"/>
      <c r="AG80" s="433"/>
      <c r="AH80" s="131"/>
      <c r="AI80" s="131"/>
      <c r="AJ80" s="131"/>
      <c r="AK80" s="131"/>
      <c r="AL80" s="131"/>
      <c r="AM80" s="131"/>
      <c r="AN80" s="131"/>
      <c r="AO80" s="131"/>
      <c r="AP80" s="131"/>
      <c r="AQ80" s="131"/>
      <c r="AT80" s="131"/>
      <c r="AU80" s="131"/>
      <c r="AV80" s="131"/>
      <c r="AW80" s="131"/>
      <c r="AX80" s="131"/>
      <c r="AY80" s="131"/>
      <c r="AZ80" s="131"/>
      <c r="BA80" s="131"/>
      <c r="CD80" s="133"/>
      <c r="CG80" s="414" t="s">
        <v>325</v>
      </c>
    </row>
    <row r="81" spans="2:87" ht="3.95" customHeight="1" x14ac:dyDescent="0.2">
      <c r="B81" s="280"/>
      <c r="C81" s="135"/>
      <c r="D81" s="135"/>
      <c r="E81" s="135"/>
      <c r="F81" s="135"/>
      <c r="G81" s="135"/>
      <c r="H81" s="135"/>
      <c r="I81" s="135"/>
      <c r="J81" s="135"/>
      <c r="K81" s="135"/>
      <c r="L81" s="135"/>
      <c r="M81" s="135"/>
      <c r="N81" s="135"/>
      <c r="O81" s="135"/>
      <c r="P81" s="135"/>
      <c r="Q81" s="135"/>
      <c r="R81" s="135"/>
      <c r="S81" s="135"/>
      <c r="T81" s="135"/>
      <c r="U81" s="135"/>
      <c r="V81" s="135"/>
      <c r="W81" s="135"/>
      <c r="X81" s="135"/>
      <c r="Y81" s="135"/>
      <c r="Z81" s="135"/>
      <c r="AA81" s="135"/>
      <c r="AB81" s="135"/>
      <c r="AC81" s="135"/>
      <c r="AD81" s="135"/>
      <c r="AE81" s="135"/>
      <c r="AF81" s="135"/>
      <c r="AG81" s="434"/>
      <c r="AH81" s="135"/>
      <c r="AI81" s="135"/>
      <c r="AJ81" s="135"/>
      <c r="AK81" s="135"/>
      <c r="AL81" s="135"/>
      <c r="AM81" s="135"/>
      <c r="AN81" s="135"/>
      <c r="AO81" s="135"/>
      <c r="AP81" s="135"/>
      <c r="AQ81" s="135"/>
      <c r="AR81" s="135"/>
      <c r="AS81" s="135"/>
      <c r="AT81" s="135"/>
      <c r="AU81" s="135"/>
      <c r="AV81" s="135"/>
      <c r="AW81" s="135"/>
      <c r="AX81" s="135"/>
      <c r="AY81" s="135"/>
      <c r="AZ81" s="135"/>
      <c r="BA81" s="135"/>
      <c r="BB81" s="135"/>
      <c r="BC81" s="135"/>
      <c r="BD81" s="135"/>
      <c r="BE81" s="135"/>
      <c r="BF81" s="135"/>
      <c r="BG81" s="135"/>
      <c r="BH81" s="135"/>
      <c r="BI81" s="135"/>
      <c r="BJ81" s="135"/>
      <c r="BK81" s="135"/>
      <c r="BL81" s="135"/>
      <c r="BM81" s="135"/>
      <c r="BN81" s="135"/>
      <c r="BO81" s="135"/>
      <c r="BP81" s="135"/>
      <c r="BQ81" s="135"/>
      <c r="BR81" s="135"/>
      <c r="BS81" s="135"/>
      <c r="BT81" s="135"/>
      <c r="BU81" s="135"/>
      <c r="BV81" s="135"/>
      <c r="BW81" s="135"/>
      <c r="BX81" s="135"/>
      <c r="BY81" s="135"/>
      <c r="BZ81" s="135"/>
      <c r="CA81" s="135"/>
      <c r="CB81" s="135"/>
      <c r="CC81" s="135"/>
      <c r="CD81" s="136"/>
    </row>
    <row r="82" spans="2:87" x14ac:dyDescent="0.2">
      <c r="B82" s="283" t="s">
        <v>220</v>
      </c>
      <c r="C82" s="276"/>
      <c r="D82" s="276"/>
      <c r="E82" s="276"/>
      <c r="F82" s="276"/>
      <c r="G82" s="276"/>
      <c r="H82" s="276"/>
      <c r="I82" s="270"/>
      <c r="J82" s="270"/>
      <c r="K82" s="270"/>
      <c r="L82" s="270"/>
      <c r="M82" s="270"/>
      <c r="N82" s="270"/>
      <c r="O82" s="270"/>
      <c r="P82" s="265"/>
      <c r="Q82" s="265"/>
      <c r="R82" s="265"/>
      <c r="S82" s="265"/>
      <c r="T82" s="265"/>
      <c r="U82" s="265"/>
      <c r="V82" s="265"/>
      <c r="W82" s="265"/>
      <c r="X82" s="268"/>
      <c r="Y82" s="268"/>
      <c r="Z82" s="268"/>
      <c r="AA82" s="268"/>
      <c r="AB82" s="268"/>
      <c r="AG82" s="435"/>
      <c r="AL82" s="131"/>
      <c r="AM82" s="131"/>
      <c r="AN82" s="131"/>
      <c r="AO82" s="131"/>
      <c r="AP82" s="131"/>
      <c r="AQ82" s="131"/>
      <c r="AR82" s="131"/>
      <c r="AX82" s="131"/>
      <c r="AY82" s="131"/>
      <c r="AZ82" s="131"/>
      <c r="BA82" s="131"/>
      <c r="BB82" s="131"/>
      <c r="BC82" s="131"/>
      <c r="BD82" s="131"/>
      <c r="BE82" s="131"/>
      <c r="CD82" s="133"/>
    </row>
    <row r="83" spans="2:87" hidden="1" x14ac:dyDescent="0.2">
      <c r="B83" s="283" t="s">
        <v>225</v>
      </c>
      <c r="C83" s="286"/>
      <c r="D83" s="286"/>
      <c r="E83" s="286"/>
      <c r="F83" s="286"/>
      <c r="G83" s="286"/>
      <c r="H83" s="286"/>
      <c r="I83" s="286"/>
      <c r="J83" s="286"/>
      <c r="K83" s="286"/>
      <c r="L83" s="286"/>
      <c r="M83" s="286"/>
      <c r="N83" s="286"/>
      <c r="O83" s="286"/>
      <c r="P83" s="286"/>
      <c r="Q83" s="287"/>
      <c r="R83" s="287"/>
      <c r="S83" s="287"/>
      <c r="T83" s="287"/>
      <c r="U83" s="287"/>
      <c r="V83" s="287"/>
      <c r="W83" s="287"/>
      <c r="X83" s="287"/>
      <c r="Y83" s="287"/>
      <c r="Z83" s="287"/>
      <c r="AA83" s="287"/>
      <c r="AB83" s="287"/>
      <c r="AC83" s="287"/>
      <c r="AD83" s="287"/>
      <c r="AE83" s="287"/>
      <c r="AF83" s="287"/>
      <c r="AG83" s="436"/>
      <c r="AH83" s="287"/>
      <c r="AI83" s="287"/>
      <c r="AJ83" s="287"/>
      <c r="AK83" s="287"/>
      <c r="AL83" s="287"/>
      <c r="AM83" s="287"/>
      <c r="AN83" s="287"/>
      <c r="AO83" s="287"/>
      <c r="AP83" s="287"/>
      <c r="AQ83" s="287"/>
      <c r="AR83" s="286"/>
      <c r="AS83" s="286"/>
      <c r="AT83" s="287"/>
      <c r="AU83" s="287"/>
      <c r="AV83" s="287"/>
      <c r="AW83" s="287"/>
      <c r="AX83" s="287"/>
      <c r="AY83" s="287"/>
      <c r="AZ83" s="287"/>
      <c r="BA83" s="287"/>
      <c r="BB83" s="286"/>
      <c r="BC83" s="286"/>
      <c r="BD83" s="286"/>
      <c r="BE83" s="286"/>
      <c r="BF83" s="286"/>
      <c r="BG83" s="286"/>
      <c r="BH83" s="286"/>
      <c r="BI83" s="286"/>
      <c r="BJ83" s="286"/>
      <c r="BK83" s="286"/>
      <c r="BL83" s="286"/>
      <c r="BM83" s="286"/>
      <c r="BN83" s="286"/>
      <c r="BO83" s="286"/>
      <c r="BP83" s="286"/>
      <c r="BQ83" s="286"/>
      <c r="BR83" s="286"/>
      <c r="BS83" s="286"/>
      <c r="BT83" s="286"/>
      <c r="BU83" s="286"/>
      <c r="BV83" s="286"/>
      <c r="BW83" s="286"/>
      <c r="BX83" s="286"/>
      <c r="BY83" s="286"/>
      <c r="BZ83" s="286"/>
      <c r="CA83" s="286"/>
      <c r="CB83" s="286"/>
      <c r="CC83" s="286"/>
      <c r="CD83" s="288"/>
    </row>
    <row r="84" spans="2:87" ht="3.95" customHeight="1" thickBot="1" x14ac:dyDescent="0.25">
      <c r="B84" s="280"/>
      <c r="C84" s="135"/>
      <c r="D84" s="135"/>
      <c r="E84" s="135"/>
      <c r="F84" s="135"/>
      <c r="G84" s="135"/>
      <c r="H84" s="135"/>
      <c r="I84" s="135"/>
      <c r="J84" s="135"/>
      <c r="K84" s="135"/>
      <c r="L84" s="135"/>
      <c r="M84" s="135"/>
      <c r="N84" s="135"/>
      <c r="O84" s="135"/>
      <c r="P84" s="135"/>
      <c r="Q84" s="135"/>
      <c r="R84" s="135"/>
      <c r="S84" s="135"/>
      <c r="T84" s="135"/>
      <c r="U84" s="135"/>
      <c r="V84" s="135"/>
      <c r="W84" s="135"/>
      <c r="X84" s="135"/>
      <c r="Y84" s="135"/>
      <c r="Z84" s="135"/>
      <c r="AA84" s="135"/>
      <c r="AB84" s="135"/>
      <c r="AC84" s="135"/>
      <c r="AD84" s="135"/>
      <c r="AE84" s="135"/>
      <c r="AF84" s="135"/>
      <c r="AG84" s="434"/>
      <c r="AH84" s="135"/>
      <c r="AI84" s="135"/>
      <c r="AJ84" s="135"/>
      <c r="AK84" s="135"/>
      <c r="AL84" s="135"/>
      <c r="AM84" s="135"/>
      <c r="AN84" s="135"/>
      <c r="AO84" s="135"/>
      <c r="AP84" s="135"/>
      <c r="AQ84" s="135"/>
      <c r="AR84" s="135"/>
      <c r="AS84" s="135"/>
      <c r="AT84" s="135"/>
      <c r="AU84" s="135"/>
      <c r="AV84" s="135"/>
      <c r="AW84" s="135"/>
      <c r="AX84" s="135"/>
      <c r="AY84" s="135"/>
      <c r="AZ84" s="135"/>
      <c r="BA84" s="135"/>
      <c r="BB84" s="135"/>
      <c r="BC84" s="135"/>
      <c r="BD84" s="135"/>
      <c r="BE84" s="135"/>
      <c r="BF84" s="135"/>
      <c r="BG84" s="135"/>
      <c r="BH84" s="135"/>
      <c r="BI84" s="135"/>
      <c r="BJ84" s="135"/>
      <c r="BK84" s="135"/>
      <c r="BL84" s="135"/>
      <c r="BM84" s="135"/>
      <c r="BN84" s="135"/>
      <c r="BO84" s="135"/>
      <c r="BP84" s="135"/>
      <c r="BQ84" s="135"/>
      <c r="BR84" s="135"/>
      <c r="BS84" s="135"/>
      <c r="BT84" s="135"/>
      <c r="BU84" s="135"/>
      <c r="BV84" s="135"/>
      <c r="BW84" s="135"/>
      <c r="BX84" s="135"/>
      <c r="BY84" s="135"/>
      <c r="BZ84" s="135"/>
      <c r="CA84" s="135"/>
      <c r="CB84" s="135"/>
      <c r="CC84" s="135"/>
      <c r="CD84" s="136"/>
    </row>
    <row r="85" spans="2:87" x14ac:dyDescent="0.2">
      <c r="B85" s="284" t="s">
        <v>221</v>
      </c>
      <c r="C85" s="272"/>
      <c r="D85" s="272"/>
      <c r="E85" s="272"/>
      <c r="F85" s="272"/>
      <c r="H85" s="267"/>
      <c r="I85" s="267"/>
      <c r="J85" s="267"/>
      <c r="K85" s="267"/>
      <c r="L85" s="267"/>
      <c r="M85" s="267"/>
      <c r="N85" s="267"/>
      <c r="O85" s="273"/>
      <c r="P85" s="273"/>
      <c r="Q85" s="273"/>
      <c r="R85" s="273"/>
      <c r="S85" s="273"/>
      <c r="T85" s="273"/>
      <c r="U85" s="277"/>
      <c r="V85" s="277"/>
      <c r="W85" s="277"/>
      <c r="X85" s="591"/>
      <c r="Y85" s="592"/>
      <c r="Z85" s="592"/>
      <c r="AA85" s="592"/>
      <c r="AB85" s="592"/>
      <c r="AC85" s="592"/>
      <c r="AD85" s="593"/>
      <c r="AG85" s="435"/>
      <c r="AL85" s="131"/>
      <c r="AM85" s="131"/>
      <c r="AN85" s="131"/>
      <c r="AO85" s="131"/>
      <c r="AP85" s="131"/>
      <c r="AQ85" s="131"/>
      <c r="AR85" s="131"/>
      <c r="AS85" s="131"/>
      <c r="AT85" s="131"/>
      <c r="AU85" s="131"/>
      <c r="AV85" s="131"/>
      <c r="AW85" s="131"/>
      <c r="AX85" s="131"/>
      <c r="AY85" s="131"/>
      <c r="AZ85" s="131"/>
      <c r="BK85" s="131"/>
      <c r="BL85" s="131"/>
      <c r="BM85" s="131"/>
      <c r="CD85" s="133"/>
      <c r="CG85" s="414" t="s">
        <v>326</v>
      </c>
    </row>
    <row r="86" spans="2:87" ht="3.95" customHeight="1" x14ac:dyDescent="0.2">
      <c r="B86" s="280"/>
      <c r="C86" s="135"/>
      <c r="D86" s="135"/>
      <c r="E86" s="135"/>
      <c r="F86" s="135"/>
      <c r="G86" s="135"/>
      <c r="H86" s="135"/>
      <c r="I86" s="135"/>
      <c r="J86" s="135"/>
      <c r="K86" s="135"/>
      <c r="L86" s="135"/>
      <c r="M86" s="135"/>
      <c r="N86" s="135"/>
      <c r="O86" s="135"/>
      <c r="P86" s="135"/>
      <c r="Q86" s="135"/>
      <c r="R86" s="135"/>
      <c r="S86" s="135"/>
      <c r="T86" s="135"/>
      <c r="U86" s="135"/>
      <c r="V86" s="135"/>
      <c r="W86" s="135"/>
      <c r="X86" s="594"/>
      <c r="Y86" s="135"/>
      <c r="Z86" s="135"/>
      <c r="AA86" s="135"/>
      <c r="AB86" s="135"/>
      <c r="AC86" s="135"/>
      <c r="AD86" s="595"/>
      <c r="AE86" s="135"/>
      <c r="AF86" s="135"/>
      <c r="AG86" s="434"/>
      <c r="AH86" s="135"/>
      <c r="AI86" s="135"/>
      <c r="AJ86" s="135"/>
      <c r="AK86" s="135"/>
      <c r="AL86" s="135"/>
      <c r="AM86" s="135"/>
      <c r="AN86" s="135"/>
      <c r="AO86" s="135"/>
      <c r="AP86" s="135"/>
      <c r="AQ86" s="135"/>
      <c r="AR86" s="135"/>
      <c r="AS86" s="135"/>
      <c r="AT86" s="135"/>
      <c r="AU86" s="135"/>
      <c r="AV86" s="135"/>
      <c r="AW86" s="135"/>
      <c r="AX86" s="135"/>
      <c r="AY86" s="135"/>
      <c r="AZ86" s="135"/>
      <c r="BA86" s="135"/>
      <c r="BB86" s="135"/>
      <c r="BC86" s="135"/>
      <c r="BD86" s="135"/>
      <c r="BE86" s="135"/>
      <c r="BF86" s="135"/>
      <c r="BG86" s="135"/>
      <c r="BH86" s="135"/>
      <c r="BI86" s="135"/>
      <c r="BJ86" s="135"/>
      <c r="BK86" s="135"/>
      <c r="BL86" s="135"/>
      <c r="BM86" s="135"/>
      <c r="BN86" s="135"/>
      <c r="BO86" s="135"/>
      <c r="BP86" s="135"/>
      <c r="BQ86" s="135"/>
      <c r="BR86" s="135"/>
      <c r="BS86" s="135"/>
      <c r="BT86" s="135"/>
      <c r="BU86" s="135"/>
      <c r="BV86" s="135"/>
      <c r="BW86" s="135"/>
      <c r="BX86" s="135"/>
      <c r="BY86" s="135"/>
      <c r="BZ86" s="135"/>
      <c r="CA86" s="135"/>
      <c r="CB86" s="135"/>
      <c r="CC86" s="135"/>
      <c r="CD86" s="136"/>
      <c r="CG86" s="414"/>
    </row>
    <row r="87" spans="2:87" ht="13.5" thickBot="1" x14ac:dyDescent="0.25">
      <c r="B87" s="284" t="s">
        <v>236</v>
      </c>
      <c r="C87" s="265"/>
      <c r="D87" s="265"/>
      <c r="E87" s="265"/>
      <c r="F87" s="265"/>
      <c r="G87" s="271"/>
      <c r="H87" s="271"/>
      <c r="I87" s="271"/>
      <c r="J87" s="271"/>
      <c r="K87" s="271"/>
      <c r="L87" s="271"/>
      <c r="M87" s="274"/>
      <c r="N87" s="274"/>
      <c r="O87" s="274"/>
      <c r="P87" s="274"/>
      <c r="Q87" s="274"/>
      <c r="R87" s="266"/>
      <c r="S87" s="266"/>
      <c r="T87" s="266"/>
      <c r="U87" s="266"/>
      <c r="V87" s="266"/>
      <c r="W87" s="275"/>
      <c r="X87" s="596"/>
      <c r="Y87" s="597"/>
      <c r="Z87" s="597"/>
      <c r="AA87" s="598"/>
      <c r="AB87" s="598"/>
      <c r="AC87" s="598"/>
      <c r="AD87" s="599"/>
      <c r="AE87" s="131"/>
      <c r="AF87" s="131"/>
      <c r="AG87" s="433"/>
      <c r="AL87" s="131"/>
      <c r="AM87" s="131"/>
      <c r="AN87" s="131"/>
      <c r="AO87" s="131"/>
      <c r="AP87" s="131"/>
      <c r="AQ87" s="131"/>
      <c r="AR87" s="131"/>
      <c r="AS87" s="131"/>
      <c r="AT87" s="131"/>
      <c r="AU87" s="131"/>
      <c r="AV87" s="131"/>
      <c r="AW87" s="131"/>
      <c r="AX87" s="131"/>
      <c r="AY87" s="131"/>
      <c r="AZ87" s="131"/>
      <c r="BO87" s="131"/>
      <c r="CD87" s="133"/>
      <c r="CF87" s="414"/>
      <c r="CG87" s="414" t="s">
        <v>327</v>
      </c>
    </row>
    <row r="88" spans="2:87" ht="3.95" customHeight="1" x14ac:dyDescent="0.2">
      <c r="B88" s="134"/>
      <c r="C88" s="135"/>
      <c r="D88" s="135"/>
      <c r="E88" s="135"/>
      <c r="F88" s="135"/>
      <c r="G88" s="135"/>
      <c r="H88" s="135"/>
      <c r="I88" s="135"/>
      <c r="J88" s="135"/>
      <c r="K88" s="135"/>
      <c r="L88" s="135"/>
      <c r="M88" s="135"/>
      <c r="N88" s="135"/>
      <c r="O88" s="135"/>
      <c r="P88" s="135"/>
      <c r="Q88" s="135"/>
      <c r="R88" s="135"/>
      <c r="S88" s="135"/>
      <c r="T88" s="135"/>
      <c r="U88" s="135"/>
      <c r="V88" s="135"/>
      <c r="W88" s="135"/>
      <c r="X88" s="135"/>
      <c r="Y88" s="135"/>
      <c r="Z88" s="135"/>
      <c r="AA88" s="135"/>
      <c r="AB88" s="135"/>
      <c r="AC88" s="135"/>
      <c r="AD88" s="135"/>
      <c r="AE88" s="135"/>
      <c r="AF88" s="135"/>
      <c r="AG88" s="434"/>
      <c r="AH88" s="135"/>
      <c r="AI88" s="135"/>
      <c r="AJ88" s="135"/>
      <c r="AK88" s="135"/>
      <c r="AL88" s="135"/>
      <c r="AM88" s="135"/>
      <c r="AN88" s="135"/>
      <c r="AO88" s="135"/>
      <c r="AP88" s="135"/>
      <c r="AQ88" s="135"/>
      <c r="AR88" s="135"/>
      <c r="AS88" s="135"/>
      <c r="AT88" s="135"/>
      <c r="AU88" s="135"/>
      <c r="AV88" s="135"/>
      <c r="AW88" s="135"/>
      <c r="AX88" s="135"/>
      <c r="AY88" s="135"/>
      <c r="AZ88" s="135"/>
      <c r="BA88" s="135"/>
      <c r="BB88" s="135"/>
      <c r="BC88" s="135"/>
      <c r="BD88" s="135"/>
      <c r="BE88" s="135"/>
      <c r="BF88" s="135"/>
      <c r="BG88" s="135"/>
      <c r="BH88" s="135"/>
      <c r="BI88" s="135"/>
      <c r="BJ88" s="135"/>
      <c r="BK88" s="135"/>
      <c r="BL88" s="135"/>
      <c r="BM88" s="135"/>
      <c r="BN88" s="135"/>
      <c r="BO88" s="135"/>
      <c r="BP88" s="135"/>
      <c r="BQ88" s="135"/>
      <c r="BR88" s="135"/>
      <c r="BS88" s="135"/>
      <c r="BT88" s="135"/>
      <c r="BU88" s="135"/>
      <c r="BV88" s="135"/>
      <c r="BW88" s="135"/>
      <c r="BX88" s="135"/>
      <c r="BY88" s="135"/>
      <c r="BZ88" s="135"/>
      <c r="CA88" s="135"/>
      <c r="CB88" s="135"/>
      <c r="CC88" s="135"/>
      <c r="CD88" s="136"/>
    </row>
    <row r="89" spans="2:87" x14ac:dyDescent="0.2">
      <c r="B89" s="285" t="s">
        <v>222</v>
      </c>
      <c r="C89" s="271"/>
      <c r="D89" s="271"/>
      <c r="E89" s="271"/>
      <c r="F89" s="271"/>
      <c r="G89" s="272"/>
      <c r="H89" s="272"/>
      <c r="I89" s="276"/>
      <c r="J89" s="276"/>
      <c r="K89" s="276"/>
      <c r="L89" s="276"/>
      <c r="M89" s="276"/>
      <c r="O89" s="267"/>
      <c r="P89" s="267"/>
      <c r="Q89" s="267"/>
      <c r="R89" s="267"/>
      <c r="S89" s="267"/>
      <c r="T89" s="267"/>
      <c r="U89" s="274"/>
      <c r="V89" s="274"/>
      <c r="W89" s="274"/>
      <c r="X89" s="274"/>
      <c r="Y89" s="274"/>
      <c r="Z89" s="274"/>
      <c r="AA89" s="266"/>
      <c r="AB89" s="266"/>
      <c r="AC89" s="266"/>
      <c r="AD89" s="266"/>
      <c r="AE89" s="266"/>
      <c r="AF89" s="266"/>
      <c r="AG89" s="433"/>
      <c r="AH89" s="131"/>
      <c r="AI89" s="131"/>
      <c r="AJ89" s="131"/>
      <c r="AK89" s="131"/>
      <c r="AL89" s="131"/>
      <c r="AM89" s="131"/>
      <c r="AN89" s="131"/>
      <c r="AO89" s="131"/>
      <c r="AP89" s="131"/>
      <c r="AQ89" s="131"/>
      <c r="AT89" s="131"/>
      <c r="AU89" s="131"/>
      <c r="AV89" s="131"/>
      <c r="AW89" s="131"/>
      <c r="AX89" s="131"/>
      <c r="AY89" s="131"/>
      <c r="AZ89" s="131"/>
      <c r="CD89" s="133"/>
      <c r="CF89" s="414"/>
    </row>
    <row r="90" spans="2:87" ht="3.95" customHeight="1" x14ac:dyDescent="0.2">
      <c r="B90" s="134"/>
      <c r="C90" s="135"/>
      <c r="D90" s="135"/>
      <c r="E90" s="135"/>
      <c r="F90" s="135"/>
      <c r="G90" s="135"/>
      <c r="H90" s="135"/>
      <c r="I90" s="135"/>
      <c r="J90" s="135"/>
      <c r="K90" s="135"/>
      <c r="L90" s="135"/>
      <c r="M90" s="135"/>
      <c r="N90" s="135"/>
      <c r="O90" s="135"/>
      <c r="P90" s="135"/>
      <c r="Q90" s="135"/>
      <c r="R90" s="135"/>
      <c r="S90" s="135"/>
      <c r="T90" s="135"/>
      <c r="U90" s="135"/>
      <c r="V90" s="135"/>
      <c r="W90" s="135"/>
      <c r="X90" s="135"/>
      <c r="Y90" s="135"/>
      <c r="Z90" s="135"/>
      <c r="AA90" s="135"/>
      <c r="AB90" s="135"/>
      <c r="AC90" s="135"/>
      <c r="AD90" s="135"/>
      <c r="AE90" s="135"/>
      <c r="AF90" s="135"/>
      <c r="AG90" s="434"/>
      <c r="AH90" s="135"/>
      <c r="AI90" s="135"/>
      <c r="AJ90" s="135"/>
      <c r="AK90" s="135"/>
      <c r="AL90" s="135"/>
      <c r="AM90" s="135"/>
      <c r="AN90" s="135"/>
      <c r="AO90" s="135"/>
      <c r="AP90" s="135"/>
      <c r="AQ90" s="135"/>
      <c r="AR90" s="135"/>
      <c r="AS90" s="135"/>
      <c r="AT90" s="135"/>
      <c r="AU90" s="135"/>
      <c r="AV90" s="135"/>
      <c r="AW90" s="135"/>
      <c r="AX90" s="135"/>
      <c r="AY90" s="135"/>
      <c r="AZ90" s="135"/>
      <c r="BA90" s="135"/>
      <c r="BB90" s="135"/>
      <c r="BC90" s="135"/>
      <c r="BD90" s="135"/>
      <c r="BE90" s="135"/>
      <c r="BF90" s="135"/>
      <c r="BG90" s="135"/>
      <c r="BH90" s="135"/>
      <c r="BI90" s="135"/>
      <c r="BJ90" s="135"/>
      <c r="BK90" s="135"/>
      <c r="BL90" s="135"/>
      <c r="BM90" s="135"/>
      <c r="BN90" s="135"/>
      <c r="BO90" s="135"/>
      <c r="BP90" s="135"/>
      <c r="BQ90" s="135"/>
      <c r="BR90" s="135"/>
      <c r="BS90" s="135"/>
      <c r="BT90" s="135"/>
      <c r="BU90" s="135"/>
      <c r="BV90" s="135"/>
      <c r="BW90" s="135"/>
      <c r="BX90" s="135"/>
      <c r="BY90" s="135"/>
      <c r="BZ90" s="135"/>
      <c r="CA90" s="135"/>
      <c r="CB90" s="135"/>
      <c r="CC90" s="135"/>
      <c r="CD90" s="136"/>
    </row>
    <row r="91" spans="2:87" x14ac:dyDescent="0.2">
      <c r="B91" s="285" t="s">
        <v>237</v>
      </c>
      <c r="C91" s="278"/>
      <c r="D91" s="278"/>
      <c r="E91" s="278"/>
      <c r="F91" s="278"/>
      <c r="G91" s="278"/>
      <c r="H91" s="278"/>
      <c r="O91" s="131"/>
      <c r="P91" s="270"/>
      <c r="Q91" s="270"/>
      <c r="R91" s="270"/>
      <c r="S91" s="270"/>
      <c r="T91" s="270"/>
      <c r="U91" s="270"/>
      <c r="V91" s="273"/>
      <c r="W91" s="273"/>
      <c r="X91" s="273"/>
      <c r="Y91" s="273"/>
      <c r="Z91" s="273"/>
      <c r="AA91" s="273"/>
      <c r="AB91" s="277"/>
      <c r="AC91" s="277"/>
      <c r="AD91" s="277"/>
      <c r="AE91" s="277"/>
      <c r="AG91" s="435"/>
      <c r="AL91" s="131"/>
      <c r="AM91" s="131"/>
      <c r="AN91" s="131"/>
      <c r="AO91" s="131"/>
      <c r="AP91" s="131"/>
      <c r="AQ91" s="131"/>
      <c r="AR91" s="131"/>
      <c r="AS91" s="131"/>
      <c r="AT91" s="131"/>
      <c r="AU91" s="131"/>
      <c r="AV91" s="131"/>
      <c r="AW91" s="131"/>
      <c r="AX91" s="131"/>
      <c r="AY91" s="131"/>
      <c r="CD91" s="133"/>
    </row>
    <row r="92" spans="2:87" ht="3.95" customHeight="1" x14ac:dyDescent="0.2">
      <c r="B92" s="134"/>
      <c r="C92" s="135"/>
      <c r="D92" s="135"/>
      <c r="E92" s="135"/>
      <c r="F92" s="135"/>
      <c r="G92" s="135"/>
      <c r="H92" s="135"/>
      <c r="I92" s="135"/>
      <c r="J92" s="135"/>
      <c r="K92" s="135"/>
      <c r="L92" s="135"/>
      <c r="M92" s="135"/>
      <c r="N92" s="135"/>
      <c r="O92" s="135"/>
      <c r="P92" s="135"/>
      <c r="Q92" s="135"/>
      <c r="R92" s="135"/>
      <c r="S92" s="135"/>
      <c r="T92" s="135"/>
      <c r="U92" s="135"/>
      <c r="V92" s="135"/>
      <c r="W92" s="135"/>
      <c r="X92" s="135"/>
      <c r="Y92" s="135"/>
      <c r="Z92" s="135"/>
      <c r="AA92" s="135"/>
      <c r="AB92" s="135"/>
      <c r="AC92" s="135"/>
      <c r="AD92" s="135"/>
      <c r="AE92" s="135"/>
      <c r="AF92" s="135"/>
      <c r="AG92" s="135"/>
      <c r="AH92" s="135"/>
      <c r="AI92" s="135"/>
      <c r="AJ92" s="135"/>
      <c r="AK92" s="135"/>
      <c r="AL92" s="135"/>
      <c r="AM92" s="135"/>
      <c r="AN92" s="135"/>
      <c r="AO92" s="135"/>
      <c r="AP92" s="135"/>
      <c r="AQ92" s="135"/>
      <c r="AR92" s="135"/>
      <c r="AS92" s="135"/>
      <c r="AT92" s="135"/>
      <c r="AU92" s="135"/>
      <c r="AV92" s="135"/>
      <c r="AW92" s="135"/>
      <c r="AX92" s="135"/>
      <c r="AY92" s="135"/>
      <c r="AZ92" s="135"/>
      <c r="BA92" s="135"/>
      <c r="BB92" s="135"/>
      <c r="BC92" s="135"/>
      <c r="BD92" s="135"/>
      <c r="BE92" s="135"/>
      <c r="BF92" s="135"/>
      <c r="BG92" s="135"/>
      <c r="BH92" s="135"/>
      <c r="BI92" s="135"/>
      <c r="BJ92" s="135"/>
      <c r="BK92" s="135"/>
      <c r="BL92" s="135"/>
      <c r="BM92" s="135"/>
      <c r="BN92" s="135"/>
      <c r="BO92" s="135"/>
      <c r="BP92" s="135"/>
      <c r="BQ92" s="135"/>
      <c r="BR92" s="135"/>
      <c r="BS92" s="135"/>
      <c r="BT92" s="135"/>
      <c r="BU92" s="135"/>
      <c r="BV92" s="135"/>
      <c r="BW92" s="135"/>
      <c r="BX92" s="135"/>
      <c r="BY92" s="135"/>
      <c r="BZ92" s="135"/>
      <c r="CA92" s="135"/>
      <c r="CB92" s="135"/>
      <c r="CC92" s="135"/>
      <c r="CD92" s="136"/>
    </row>
    <row r="93" spans="2:87" hidden="1" x14ac:dyDescent="0.2">
      <c r="B93" s="289"/>
      <c r="C93" s="286"/>
      <c r="D93" s="286"/>
      <c r="E93" s="286"/>
      <c r="F93" s="286"/>
      <c r="G93" s="286"/>
      <c r="H93" s="286"/>
      <c r="I93" s="286"/>
      <c r="J93" s="286"/>
      <c r="K93" s="286"/>
      <c r="L93" s="286"/>
      <c r="M93" s="286"/>
      <c r="N93" s="286"/>
      <c r="O93" s="286"/>
      <c r="P93" s="286"/>
      <c r="Q93" s="286"/>
      <c r="R93" s="286"/>
      <c r="S93" s="286"/>
      <c r="T93" s="286"/>
      <c r="U93" s="286"/>
      <c r="V93" s="286"/>
      <c r="W93" s="286"/>
      <c r="X93" s="286"/>
      <c r="Y93" s="286"/>
      <c r="Z93" s="286"/>
      <c r="AA93" s="286"/>
      <c r="AB93" s="287"/>
      <c r="AC93" s="287"/>
      <c r="AD93" s="287"/>
      <c r="AE93" s="287"/>
      <c r="AF93" s="287"/>
      <c r="AG93" s="437"/>
      <c r="AH93" s="287"/>
      <c r="AI93" s="287"/>
      <c r="AJ93" s="287"/>
      <c r="AK93" s="287"/>
      <c r="AL93" s="287"/>
      <c r="AM93" s="287"/>
      <c r="AN93" s="287"/>
      <c r="AO93" s="287"/>
      <c r="AP93" s="287"/>
      <c r="AQ93" s="287"/>
      <c r="AR93" s="287"/>
      <c r="AS93" s="287"/>
      <c r="AT93" s="287"/>
      <c r="AU93" s="287"/>
      <c r="AV93" s="287"/>
      <c r="AW93" s="287"/>
      <c r="AX93" s="287"/>
      <c r="AY93" s="287"/>
      <c r="AZ93" s="287"/>
      <c r="BA93" s="287"/>
      <c r="BB93" s="286"/>
      <c r="BC93" s="286"/>
      <c r="BD93" s="287"/>
      <c r="BE93" s="287"/>
      <c r="BF93" s="287"/>
      <c r="BG93" s="287"/>
      <c r="BH93" s="286"/>
      <c r="BI93" s="286"/>
      <c r="BJ93" s="286"/>
      <c r="BK93" s="286"/>
      <c r="BL93" s="286"/>
      <c r="BM93" s="286"/>
      <c r="BN93" s="286"/>
      <c r="BO93" s="286"/>
      <c r="BP93" s="286"/>
      <c r="BQ93" s="286"/>
      <c r="BR93" s="286"/>
      <c r="BS93" s="286"/>
      <c r="BT93" s="286"/>
      <c r="BU93" s="286"/>
      <c r="BV93" s="286"/>
      <c r="BW93" s="286"/>
      <c r="BX93" s="286"/>
      <c r="BY93" s="286"/>
      <c r="BZ93" s="286"/>
      <c r="CA93" s="286"/>
      <c r="CB93" s="286"/>
      <c r="CC93" s="286"/>
      <c r="CD93" s="288"/>
    </row>
    <row r="94" spans="2:87" ht="3.95" customHeight="1" thickBot="1" x14ac:dyDescent="0.25">
      <c r="B94" s="138"/>
      <c r="C94" s="139"/>
      <c r="D94" s="139"/>
      <c r="E94" s="139"/>
      <c r="F94" s="139"/>
      <c r="G94" s="139"/>
      <c r="H94" s="139"/>
      <c r="I94" s="139"/>
      <c r="J94" s="139"/>
      <c r="K94" s="139"/>
      <c r="L94" s="139"/>
      <c r="M94" s="139"/>
      <c r="N94" s="139"/>
      <c r="O94" s="139"/>
      <c r="P94" s="139"/>
      <c r="Q94" s="139"/>
      <c r="R94" s="139"/>
      <c r="S94" s="139"/>
      <c r="T94" s="139"/>
      <c r="U94" s="139"/>
      <c r="V94" s="139"/>
      <c r="W94" s="139"/>
      <c r="X94" s="139"/>
      <c r="Y94" s="139"/>
      <c r="Z94" s="139"/>
      <c r="AA94" s="139"/>
      <c r="AB94" s="139"/>
      <c r="AC94" s="139"/>
      <c r="AD94" s="139"/>
      <c r="AE94" s="139"/>
      <c r="AF94" s="139"/>
      <c r="AG94" s="438"/>
      <c r="AH94" s="139"/>
      <c r="AI94" s="139"/>
      <c r="AJ94" s="139"/>
      <c r="AK94" s="139"/>
      <c r="AL94" s="139"/>
      <c r="AM94" s="139"/>
      <c r="AN94" s="139"/>
      <c r="AO94" s="139"/>
      <c r="AP94" s="139"/>
      <c r="AQ94" s="139"/>
      <c r="AR94" s="139"/>
      <c r="AS94" s="139"/>
      <c r="AT94" s="139"/>
      <c r="AU94" s="139"/>
      <c r="AV94" s="139"/>
      <c r="AW94" s="139"/>
      <c r="AX94" s="139"/>
      <c r="AY94" s="139"/>
      <c r="AZ94" s="139"/>
      <c r="BA94" s="139"/>
      <c r="BB94" s="139"/>
      <c r="BC94" s="139"/>
      <c r="BD94" s="139"/>
      <c r="BE94" s="139"/>
      <c r="BF94" s="139"/>
      <c r="BG94" s="139"/>
      <c r="BH94" s="139"/>
      <c r="BI94" s="139"/>
      <c r="BJ94" s="139"/>
      <c r="BK94" s="139"/>
      <c r="BL94" s="139"/>
      <c r="BM94" s="139"/>
      <c r="BN94" s="139"/>
      <c r="BO94" s="139"/>
      <c r="BP94" s="139"/>
      <c r="BQ94" s="139"/>
      <c r="BR94" s="139"/>
      <c r="BS94" s="139"/>
      <c r="BT94" s="139"/>
      <c r="BU94" s="139"/>
      <c r="BV94" s="139"/>
      <c r="BW94" s="139"/>
      <c r="BX94" s="139"/>
      <c r="BY94" s="139"/>
      <c r="BZ94" s="139"/>
      <c r="CA94" s="139"/>
      <c r="CB94" s="139"/>
      <c r="CC94" s="139"/>
      <c r="CD94" s="140"/>
    </row>
    <row r="95" spans="2:87" ht="13.5" thickBot="1" x14ac:dyDescent="0.25"/>
    <row r="96" spans="2:87" ht="15.75" thickBot="1" x14ac:dyDescent="0.25">
      <c r="B96" s="122" t="s">
        <v>71</v>
      </c>
      <c r="C96" s="123"/>
      <c r="D96" s="123"/>
      <c r="E96" s="123"/>
      <c r="F96" s="123"/>
      <c r="G96" s="123"/>
      <c r="H96" s="123"/>
      <c r="I96" s="123"/>
      <c r="J96" s="123"/>
      <c r="K96" s="123"/>
      <c r="L96" s="123"/>
      <c r="M96" s="123"/>
      <c r="N96" s="123"/>
      <c r="O96" s="123"/>
      <c r="P96" s="123"/>
      <c r="Q96" s="123"/>
      <c r="R96" s="123"/>
      <c r="S96" s="123"/>
      <c r="T96" s="123"/>
      <c r="U96" s="123"/>
      <c r="V96" s="123"/>
      <c r="W96" s="123"/>
      <c r="X96" s="123"/>
      <c r="Y96" s="123"/>
      <c r="Z96" s="123"/>
      <c r="AA96" s="123"/>
      <c r="AB96" s="123"/>
      <c r="AC96" s="123"/>
      <c r="AD96" s="123"/>
      <c r="AE96" s="123"/>
      <c r="AF96" s="123"/>
      <c r="AG96" s="123"/>
      <c r="AH96" s="123"/>
      <c r="AI96" s="123"/>
      <c r="AJ96" s="123"/>
      <c r="AK96" s="123"/>
      <c r="AL96" s="123"/>
      <c r="AM96" s="123"/>
      <c r="AN96" s="123"/>
      <c r="AO96" s="123"/>
      <c r="AP96" s="123"/>
      <c r="AQ96" s="123"/>
      <c r="AR96" s="123"/>
      <c r="AS96" s="123"/>
      <c r="AT96" s="123"/>
      <c r="AU96" s="123"/>
      <c r="AV96" s="123"/>
      <c r="AW96" s="123"/>
      <c r="AX96" s="123"/>
      <c r="AY96" s="123"/>
      <c r="AZ96" s="123"/>
      <c r="BA96" s="123"/>
      <c r="BB96" s="123"/>
      <c r="BC96" s="123"/>
      <c r="BD96" s="123"/>
      <c r="BE96" s="123"/>
      <c r="BF96" s="123"/>
      <c r="BG96" s="123"/>
      <c r="BH96" s="123"/>
      <c r="BI96" s="123"/>
      <c r="BJ96" s="123"/>
      <c r="BK96" s="123"/>
      <c r="BL96" s="123"/>
      <c r="BM96" s="123"/>
      <c r="BN96" s="123"/>
      <c r="BO96" s="123"/>
      <c r="BP96" s="123"/>
      <c r="BQ96" s="123"/>
      <c r="BR96" s="123"/>
      <c r="BS96" s="123"/>
      <c r="BT96" s="123"/>
      <c r="BU96" s="123"/>
      <c r="BV96" s="123"/>
      <c r="BW96" s="123"/>
      <c r="BX96" s="123"/>
      <c r="BY96" s="123"/>
      <c r="BZ96" s="123"/>
      <c r="CA96" s="123"/>
      <c r="CB96" s="123"/>
      <c r="CC96" s="123"/>
      <c r="CD96" s="125"/>
      <c r="CI96" s="281"/>
    </row>
    <row r="97" spans="2:82" ht="13.5" thickBot="1" x14ac:dyDescent="0.25">
      <c r="B97" s="126"/>
      <c r="C97" s="129">
        <f>C$11</f>
        <v>1</v>
      </c>
      <c r="D97" s="128"/>
      <c r="E97" s="129">
        <f>E$11</f>
        <v>2</v>
      </c>
      <c r="F97" s="128"/>
      <c r="G97" s="417">
        <f>G$11</f>
        <v>3</v>
      </c>
      <c r="H97" s="418"/>
      <c r="I97" s="417">
        <f>I$11</f>
        <v>4</v>
      </c>
      <c r="J97" s="418"/>
      <c r="K97" s="417">
        <f>K$11</f>
        <v>5</v>
      </c>
      <c r="L97" s="418"/>
      <c r="M97" s="417">
        <f>M$11</f>
        <v>6</v>
      </c>
      <c r="N97" s="418"/>
      <c r="O97" s="417">
        <f>O$11</f>
        <v>7</v>
      </c>
      <c r="P97" s="418"/>
      <c r="Q97" s="417">
        <f>Q$11</f>
        <v>8</v>
      </c>
      <c r="R97" s="418"/>
      <c r="S97" s="417">
        <f>S$11</f>
        <v>9</v>
      </c>
      <c r="T97" s="418"/>
      <c r="U97" s="417">
        <f>U$11</f>
        <v>10</v>
      </c>
      <c r="V97" s="418"/>
      <c r="W97" s="417">
        <f>W$11</f>
        <v>11</v>
      </c>
      <c r="X97" s="418"/>
      <c r="Y97" s="417">
        <f>Y$11</f>
        <v>12</v>
      </c>
      <c r="Z97" s="418"/>
      <c r="AA97" s="417">
        <f>AA$11</f>
        <v>13</v>
      </c>
      <c r="AB97" s="418"/>
      <c r="AC97" s="417">
        <f>AC$11</f>
        <v>14</v>
      </c>
      <c r="AD97" s="418"/>
      <c r="AE97" s="417">
        <f>AE$11</f>
        <v>15</v>
      </c>
      <c r="AF97" s="418"/>
      <c r="AG97" s="417">
        <f>AG$11</f>
        <v>16</v>
      </c>
      <c r="AH97" s="418"/>
      <c r="AI97" s="417">
        <f>AI$11</f>
        <v>17</v>
      </c>
      <c r="AJ97" s="418"/>
      <c r="AK97" s="417">
        <f>AK$11</f>
        <v>18</v>
      </c>
      <c r="AL97" s="418"/>
      <c r="AM97" s="417">
        <f>AM$11</f>
        <v>19</v>
      </c>
      <c r="AN97" s="418"/>
      <c r="AO97" s="417">
        <f>AO$11</f>
        <v>20</v>
      </c>
      <c r="AP97" s="418"/>
      <c r="AQ97" s="417">
        <f>AQ$11</f>
        <v>21</v>
      </c>
      <c r="AR97" s="418"/>
      <c r="AS97" s="417">
        <f>AS$11</f>
        <v>22</v>
      </c>
      <c r="AT97" s="418"/>
      <c r="AU97" s="417">
        <f>AU$11</f>
        <v>23</v>
      </c>
      <c r="AV97" s="418"/>
      <c r="AW97" s="417">
        <f t="shared" ref="AW97:BG97" si="12">AW$11</f>
        <v>24</v>
      </c>
      <c r="AX97" s="418"/>
      <c r="AY97" s="417">
        <f t="shared" si="12"/>
        <v>25</v>
      </c>
      <c r="AZ97" s="418"/>
      <c r="BA97" s="417">
        <f t="shared" si="12"/>
        <v>26</v>
      </c>
      <c r="BB97" s="128"/>
      <c r="BC97" s="129">
        <f t="shared" si="12"/>
        <v>27</v>
      </c>
      <c r="BD97" s="128"/>
      <c r="BE97" s="129">
        <f t="shared" si="12"/>
        <v>28</v>
      </c>
      <c r="BF97" s="128"/>
      <c r="BG97" s="129">
        <f t="shared" si="12"/>
        <v>29</v>
      </c>
      <c r="BH97" s="128"/>
      <c r="BI97" s="129">
        <f>BI$11</f>
        <v>30</v>
      </c>
      <c r="BJ97" s="128"/>
      <c r="BK97" s="129">
        <f t="shared" ref="BK97:CA97" si="13">BK$11</f>
        <v>31</v>
      </c>
      <c r="BL97" s="128"/>
      <c r="BM97" s="129">
        <f t="shared" si="13"/>
        <v>32</v>
      </c>
      <c r="BN97" s="128"/>
      <c r="BO97" s="129">
        <f t="shared" si="13"/>
        <v>33</v>
      </c>
      <c r="BP97" s="128"/>
      <c r="BQ97" s="129">
        <f t="shared" si="13"/>
        <v>34</v>
      </c>
      <c r="BR97" s="128"/>
      <c r="BS97" s="129">
        <f t="shared" si="13"/>
        <v>35</v>
      </c>
      <c r="BT97" s="128"/>
      <c r="BU97" s="129">
        <f t="shared" si="13"/>
        <v>36</v>
      </c>
      <c r="BV97" s="128"/>
      <c r="BW97" s="129">
        <f t="shared" si="13"/>
        <v>37</v>
      </c>
      <c r="BX97" s="128"/>
      <c r="BY97" s="129">
        <f t="shared" si="13"/>
        <v>38</v>
      </c>
      <c r="BZ97" s="128"/>
      <c r="CA97" s="129">
        <f t="shared" si="13"/>
        <v>39</v>
      </c>
      <c r="CB97" s="128"/>
      <c r="CC97" s="129">
        <f>CC$11</f>
        <v>40</v>
      </c>
      <c r="CD97" s="130"/>
    </row>
    <row r="98" spans="2:82" x14ac:dyDescent="0.2">
      <c r="B98" s="282" t="s">
        <v>218</v>
      </c>
      <c r="C98" s="141"/>
      <c r="D98" s="131"/>
      <c r="E98" s="267"/>
      <c r="F98" s="267"/>
      <c r="G98" s="267"/>
      <c r="H98" s="267"/>
      <c r="I98" s="429"/>
      <c r="J98" s="132"/>
      <c r="K98" s="132"/>
      <c r="L98" s="132"/>
      <c r="M98" s="430"/>
      <c r="N98" s="430"/>
      <c r="O98" s="430"/>
      <c r="P98" s="430"/>
      <c r="Q98" s="132"/>
      <c r="R98" s="385"/>
      <c r="S98" s="431"/>
      <c r="T98" s="431"/>
      <c r="U98" s="431"/>
      <c r="V98" s="431"/>
      <c r="W98" s="132"/>
      <c r="X98" s="132"/>
      <c r="Y98" s="132"/>
      <c r="Z98" s="132"/>
      <c r="AA98" s="132"/>
      <c r="AB98" s="132"/>
      <c r="AC98" s="132"/>
      <c r="AD98" s="132"/>
      <c r="AE98" s="132"/>
      <c r="AF98" s="132"/>
      <c r="AG98" s="132"/>
      <c r="AH98" s="132"/>
      <c r="AI98" s="132"/>
      <c r="AJ98" s="132"/>
      <c r="AK98" s="132"/>
      <c r="AL98" s="132"/>
      <c r="AM98" s="132"/>
      <c r="AN98" s="440"/>
      <c r="AO98" s="132"/>
      <c r="AP98" s="132"/>
      <c r="AQ98" s="132"/>
      <c r="AR98" s="132"/>
      <c r="AS98" s="132"/>
      <c r="AT98" s="132"/>
      <c r="AU98" s="132"/>
      <c r="AV98" s="132"/>
      <c r="AW98" s="132"/>
      <c r="AX98" s="132"/>
      <c r="AY98" s="444"/>
      <c r="AZ98" s="132"/>
      <c r="BA98" s="132"/>
      <c r="BB98" s="132"/>
      <c r="BC98" s="132"/>
      <c r="BD98" s="132"/>
      <c r="BE98" s="132"/>
      <c r="BF98" s="132"/>
      <c r="BG98" s="132"/>
      <c r="CD98" s="143"/>
    </row>
    <row r="99" spans="2:82" ht="3.95" customHeight="1" x14ac:dyDescent="0.2">
      <c r="B99" s="280"/>
      <c r="C99" s="135"/>
      <c r="D99" s="135"/>
      <c r="E99" s="135"/>
      <c r="F99" s="135"/>
      <c r="G99" s="135"/>
      <c r="H99" s="135"/>
      <c r="I99" s="135"/>
      <c r="J99" s="135"/>
      <c r="K99" s="135"/>
      <c r="L99" s="135"/>
      <c r="M99" s="135"/>
      <c r="N99" s="135"/>
      <c r="O99" s="135"/>
      <c r="P99" s="135"/>
      <c r="Q99" s="135"/>
      <c r="R99" s="135"/>
      <c r="S99" s="135"/>
      <c r="T99" s="135"/>
      <c r="U99" s="135"/>
      <c r="V99" s="135"/>
      <c r="W99" s="135"/>
      <c r="X99" s="135"/>
      <c r="Y99" s="135"/>
      <c r="Z99" s="135"/>
      <c r="AA99" s="135"/>
      <c r="AB99" s="135"/>
      <c r="AC99" s="135"/>
      <c r="AD99" s="135"/>
      <c r="AE99" s="135"/>
      <c r="AF99" s="135"/>
      <c r="AG99" s="135"/>
      <c r="AH99" s="135"/>
      <c r="AI99" s="135"/>
      <c r="AJ99" s="135"/>
      <c r="AK99" s="135"/>
      <c r="AL99" s="135"/>
      <c r="AM99" s="135"/>
      <c r="AN99" s="135"/>
      <c r="AO99" s="135"/>
      <c r="AP99" s="135"/>
      <c r="AQ99" s="135"/>
      <c r="AR99" s="135"/>
      <c r="AS99" s="135"/>
      <c r="AT99" s="135"/>
      <c r="AU99" s="135"/>
      <c r="AV99" s="135"/>
      <c r="AW99" s="135"/>
      <c r="AX99" s="135"/>
      <c r="AY99" s="434"/>
      <c r="AZ99" s="135"/>
      <c r="BA99" s="135"/>
      <c r="BB99" s="135"/>
      <c r="BC99" s="135"/>
      <c r="BD99" s="135"/>
      <c r="BE99" s="135"/>
      <c r="BF99" s="135"/>
      <c r="BG99" s="135"/>
      <c r="BH99" s="135"/>
      <c r="BI99" s="135"/>
      <c r="BJ99" s="135"/>
      <c r="BK99" s="135"/>
      <c r="BL99" s="135"/>
      <c r="BM99" s="135"/>
      <c r="BN99" s="135"/>
      <c r="BO99" s="135"/>
      <c r="BP99" s="135"/>
      <c r="BQ99" s="135"/>
      <c r="BR99" s="135"/>
      <c r="BS99" s="135"/>
      <c r="BT99" s="135"/>
      <c r="BU99" s="135"/>
      <c r="BV99" s="135"/>
      <c r="BW99" s="135"/>
      <c r="BX99" s="135"/>
      <c r="BY99" s="135"/>
      <c r="BZ99" s="135"/>
      <c r="CA99" s="135"/>
      <c r="CB99" s="135"/>
      <c r="CC99" s="135"/>
      <c r="CD99" s="136"/>
    </row>
    <row r="100" spans="2:82" x14ac:dyDescent="0.2">
      <c r="B100" s="145" t="s">
        <v>219</v>
      </c>
      <c r="C100" s="267"/>
      <c r="D100" s="267"/>
      <c r="J100" s="273"/>
      <c r="K100" s="273"/>
      <c r="L100" s="273"/>
      <c r="P100" s="131"/>
      <c r="Q100" s="266"/>
      <c r="R100" s="266"/>
      <c r="S100" s="131"/>
      <c r="T100" s="131"/>
      <c r="U100" s="131"/>
      <c r="V100" s="131"/>
      <c r="AM100" s="131"/>
      <c r="AN100" s="131"/>
      <c r="AY100" s="433"/>
      <c r="AZ100" s="131"/>
      <c r="BA100" s="131"/>
      <c r="CD100" s="133"/>
    </row>
    <row r="101" spans="2:82" ht="3.95" customHeight="1" x14ac:dyDescent="0.2">
      <c r="B101" s="280"/>
      <c r="C101" s="135"/>
      <c r="D101" s="135"/>
      <c r="E101" s="135"/>
      <c r="F101" s="135"/>
      <c r="G101" s="135"/>
      <c r="H101" s="135"/>
      <c r="I101" s="135"/>
      <c r="J101" s="135"/>
      <c r="K101" s="135"/>
      <c r="L101" s="135"/>
      <c r="M101" s="135"/>
      <c r="N101" s="135"/>
      <c r="O101" s="135"/>
      <c r="P101" s="135"/>
      <c r="Q101" s="135"/>
      <c r="R101" s="135"/>
      <c r="S101" s="135"/>
      <c r="T101" s="135"/>
      <c r="U101" s="135"/>
      <c r="V101" s="135"/>
      <c r="W101" s="135"/>
      <c r="X101" s="135"/>
      <c r="Y101" s="135"/>
      <c r="Z101" s="135"/>
      <c r="AA101" s="135"/>
      <c r="AB101" s="135"/>
      <c r="AC101" s="135"/>
      <c r="AD101" s="135"/>
      <c r="AE101" s="135"/>
      <c r="AF101" s="135"/>
      <c r="AG101" s="135"/>
      <c r="AH101" s="135"/>
      <c r="AI101" s="135"/>
      <c r="AJ101" s="135"/>
      <c r="AK101" s="135"/>
      <c r="AL101" s="135"/>
      <c r="AM101" s="135"/>
      <c r="AN101" s="135"/>
      <c r="AO101" s="135"/>
      <c r="AP101" s="135"/>
      <c r="AQ101" s="135"/>
      <c r="AR101" s="135"/>
      <c r="AS101" s="135"/>
      <c r="AT101" s="135"/>
      <c r="AU101" s="135"/>
      <c r="AV101" s="135"/>
      <c r="AW101" s="135"/>
      <c r="AX101" s="135"/>
      <c r="AY101" s="434"/>
      <c r="AZ101" s="135"/>
      <c r="BA101" s="135"/>
      <c r="BB101" s="135"/>
      <c r="BC101" s="135"/>
      <c r="BD101" s="135"/>
      <c r="BE101" s="135"/>
      <c r="BF101" s="135"/>
      <c r="BG101" s="135"/>
      <c r="BH101" s="135"/>
      <c r="BI101" s="135"/>
      <c r="BJ101" s="135"/>
      <c r="BK101" s="135"/>
      <c r="BL101" s="135"/>
      <c r="BM101" s="135"/>
      <c r="BN101" s="135"/>
      <c r="BO101" s="135"/>
      <c r="BP101" s="135"/>
      <c r="BQ101" s="135"/>
      <c r="BR101" s="135"/>
      <c r="BS101" s="135"/>
      <c r="BT101" s="135"/>
      <c r="BU101" s="135"/>
      <c r="BV101" s="135"/>
      <c r="BW101" s="135"/>
      <c r="BX101" s="135"/>
      <c r="BY101" s="135"/>
      <c r="BZ101" s="135"/>
      <c r="CA101" s="135"/>
      <c r="CB101" s="135"/>
      <c r="CC101" s="135"/>
      <c r="CD101" s="136"/>
    </row>
    <row r="102" spans="2:82" x14ac:dyDescent="0.2">
      <c r="B102" s="282" t="s">
        <v>223</v>
      </c>
      <c r="C102" s="141"/>
      <c r="D102" s="131"/>
      <c r="E102" s="270"/>
      <c r="F102" s="270"/>
      <c r="G102" s="270"/>
      <c r="H102" s="270"/>
      <c r="I102" s="131"/>
      <c r="J102" s="142"/>
      <c r="K102" s="268"/>
      <c r="L102" s="268"/>
      <c r="M102" s="268"/>
      <c r="N102" s="268"/>
      <c r="O102" s="268"/>
      <c r="P102" s="268"/>
      <c r="Q102" s="131"/>
      <c r="R102" s="131"/>
      <c r="S102" s="275"/>
      <c r="T102" s="275"/>
      <c r="U102" s="275"/>
      <c r="V102" s="131"/>
      <c r="W102" s="131"/>
      <c r="X102" s="269"/>
      <c r="Y102" s="269"/>
      <c r="Z102" s="269"/>
      <c r="AA102" s="131"/>
      <c r="AL102" s="131"/>
      <c r="AM102" s="131"/>
      <c r="AN102" s="131"/>
      <c r="AY102" s="433"/>
      <c r="AZ102" s="131"/>
      <c r="BA102" s="131"/>
      <c r="BB102" s="131"/>
      <c r="BC102" s="131"/>
      <c r="BD102" s="131"/>
      <c r="BE102" s="131"/>
      <c r="BF102" s="131"/>
      <c r="BG102" s="131"/>
      <c r="CD102" s="133"/>
    </row>
    <row r="103" spans="2:82" ht="3.95" customHeight="1" x14ac:dyDescent="0.2">
      <c r="B103" s="280"/>
      <c r="C103" s="135"/>
      <c r="D103" s="135"/>
      <c r="E103" s="135"/>
      <c r="F103" s="135"/>
      <c r="G103" s="135"/>
      <c r="H103" s="135"/>
      <c r="I103" s="135"/>
      <c r="J103" s="135"/>
      <c r="K103" s="135"/>
      <c r="L103" s="135"/>
      <c r="M103" s="135"/>
      <c r="N103" s="135"/>
      <c r="O103" s="135"/>
      <c r="P103" s="135"/>
      <c r="Q103" s="135"/>
      <c r="R103" s="135"/>
      <c r="S103" s="135"/>
      <c r="T103" s="135"/>
      <c r="U103" s="135"/>
      <c r="V103" s="135"/>
      <c r="W103" s="135"/>
      <c r="X103" s="135"/>
      <c r="Y103" s="135"/>
      <c r="Z103" s="135"/>
      <c r="AA103" s="135"/>
      <c r="AB103" s="135"/>
      <c r="AC103" s="135"/>
      <c r="AD103" s="135"/>
      <c r="AE103" s="135"/>
      <c r="AF103" s="135"/>
      <c r="AG103" s="135"/>
      <c r="AH103" s="135"/>
      <c r="AI103" s="135"/>
      <c r="AJ103" s="135"/>
      <c r="AK103" s="135"/>
      <c r="AL103" s="135"/>
      <c r="AM103" s="135"/>
      <c r="AN103" s="135"/>
      <c r="AO103" s="135"/>
      <c r="AP103" s="135"/>
      <c r="AQ103" s="135"/>
      <c r="AR103" s="135"/>
      <c r="AS103" s="135"/>
      <c r="AT103" s="135"/>
      <c r="AU103" s="135"/>
      <c r="AV103" s="135"/>
      <c r="AW103" s="135"/>
      <c r="AX103" s="135"/>
      <c r="AY103" s="434"/>
      <c r="AZ103" s="135"/>
      <c r="BA103" s="135"/>
      <c r="BB103" s="135"/>
      <c r="BC103" s="135"/>
      <c r="BD103" s="135"/>
      <c r="BE103" s="135"/>
      <c r="BF103" s="135"/>
      <c r="BG103" s="135"/>
      <c r="BH103" s="135"/>
      <c r="BI103" s="135"/>
      <c r="BJ103" s="135"/>
      <c r="BK103" s="135"/>
      <c r="BL103" s="135"/>
      <c r="BM103" s="135"/>
      <c r="BN103" s="135"/>
      <c r="BO103" s="135"/>
      <c r="BP103" s="135"/>
      <c r="BQ103" s="135"/>
      <c r="BR103" s="135"/>
      <c r="BS103" s="135"/>
      <c r="BT103" s="135"/>
      <c r="BU103" s="135"/>
      <c r="BV103" s="135"/>
      <c r="BW103" s="135"/>
      <c r="BX103" s="135"/>
      <c r="BY103" s="135"/>
      <c r="BZ103" s="135"/>
      <c r="CA103" s="135"/>
      <c r="CB103" s="135"/>
      <c r="CC103" s="135"/>
      <c r="CD103" s="136"/>
    </row>
    <row r="104" spans="2:82" x14ac:dyDescent="0.2">
      <c r="B104" s="145" t="s">
        <v>224</v>
      </c>
      <c r="C104" s="270"/>
      <c r="D104" s="270"/>
      <c r="E104" s="131"/>
      <c r="I104" s="268"/>
      <c r="J104" s="268"/>
      <c r="P104" s="131"/>
      <c r="Q104" s="275"/>
      <c r="R104" s="275"/>
      <c r="S104" s="131"/>
      <c r="T104" s="131"/>
      <c r="U104" s="131"/>
      <c r="V104" s="269"/>
      <c r="W104" s="269"/>
      <c r="X104" s="131"/>
      <c r="Y104" s="131"/>
      <c r="Z104" s="131"/>
      <c r="AA104" s="131"/>
      <c r="AL104" s="131"/>
      <c r="AM104" s="131"/>
      <c r="AN104" s="131"/>
      <c r="AO104" s="131"/>
      <c r="AP104" s="131"/>
      <c r="AQ104" s="131"/>
      <c r="AR104" s="131"/>
      <c r="AS104" s="131"/>
      <c r="AT104" s="131"/>
      <c r="AU104" s="131"/>
      <c r="AV104" s="131"/>
      <c r="AW104" s="131"/>
      <c r="AX104" s="131"/>
      <c r="AY104" s="433"/>
      <c r="AZ104" s="131"/>
      <c r="BA104" s="131"/>
      <c r="BB104" s="131"/>
      <c r="BC104" s="131"/>
      <c r="BD104" s="131"/>
      <c r="BE104" s="131"/>
      <c r="BF104" s="131"/>
      <c r="BG104" s="131"/>
      <c r="CD104" s="133"/>
    </row>
    <row r="105" spans="2:82" ht="3.95" customHeight="1" x14ac:dyDescent="0.2">
      <c r="B105" s="280"/>
      <c r="C105" s="135"/>
      <c r="D105" s="135"/>
      <c r="E105" s="135"/>
      <c r="F105" s="135"/>
      <c r="G105" s="135"/>
      <c r="H105" s="135"/>
      <c r="I105" s="135"/>
      <c r="J105" s="135"/>
      <c r="K105" s="135"/>
      <c r="L105" s="135"/>
      <c r="M105" s="135"/>
      <c r="N105" s="135"/>
      <c r="O105" s="135"/>
      <c r="P105" s="135"/>
      <c r="Q105" s="135"/>
      <c r="R105" s="135"/>
      <c r="S105" s="135"/>
      <c r="T105" s="135"/>
      <c r="U105" s="135"/>
      <c r="V105" s="135"/>
      <c r="W105" s="135"/>
      <c r="X105" s="135"/>
      <c r="Y105" s="135"/>
      <c r="Z105" s="135"/>
      <c r="AA105" s="135"/>
      <c r="AB105" s="135"/>
      <c r="AC105" s="135"/>
      <c r="AD105" s="135"/>
      <c r="AE105" s="135"/>
      <c r="AF105" s="135"/>
      <c r="AG105" s="135"/>
      <c r="AH105" s="135"/>
      <c r="AI105" s="135"/>
      <c r="AJ105" s="135"/>
      <c r="AK105" s="135"/>
      <c r="AL105" s="135"/>
      <c r="AM105" s="135"/>
      <c r="AN105" s="135"/>
      <c r="AO105" s="135"/>
      <c r="AP105" s="135"/>
      <c r="AQ105" s="135"/>
      <c r="AR105" s="135"/>
      <c r="AS105" s="135"/>
      <c r="AT105" s="135"/>
      <c r="AU105" s="135"/>
      <c r="AV105" s="135"/>
      <c r="AW105" s="135"/>
      <c r="AX105" s="135"/>
      <c r="AY105" s="434"/>
      <c r="AZ105" s="135"/>
      <c r="BA105" s="135"/>
      <c r="BB105" s="135"/>
      <c r="BC105" s="135"/>
      <c r="BD105" s="135"/>
      <c r="BE105" s="135"/>
      <c r="BF105" s="135"/>
      <c r="BG105" s="135"/>
      <c r="BH105" s="135"/>
      <c r="BI105" s="135"/>
      <c r="BJ105" s="135"/>
      <c r="BK105" s="135"/>
      <c r="BL105" s="135"/>
      <c r="BM105" s="135"/>
      <c r="BN105" s="135"/>
      <c r="BO105" s="135"/>
      <c r="BP105" s="135"/>
      <c r="BQ105" s="135"/>
      <c r="BR105" s="135"/>
      <c r="BS105" s="135"/>
      <c r="BT105" s="135"/>
      <c r="BU105" s="135"/>
      <c r="BV105" s="135"/>
      <c r="BW105" s="135"/>
      <c r="BX105" s="135"/>
      <c r="BY105" s="135"/>
      <c r="BZ105" s="135"/>
      <c r="CA105" s="135"/>
      <c r="CB105" s="135"/>
      <c r="CC105" s="135"/>
      <c r="CD105" s="136"/>
    </row>
    <row r="106" spans="2:82" x14ac:dyDescent="0.2">
      <c r="B106" s="283" t="s">
        <v>220</v>
      </c>
      <c r="E106" s="276"/>
      <c r="F106" s="276"/>
      <c r="G106" s="276"/>
      <c r="H106" s="276"/>
      <c r="I106" s="276"/>
      <c r="J106" s="276"/>
      <c r="M106" s="270"/>
      <c r="N106" s="270"/>
      <c r="O106" s="270"/>
      <c r="P106" s="270"/>
      <c r="Q106" s="270"/>
      <c r="R106" s="270"/>
      <c r="S106" s="270"/>
      <c r="T106" s="131"/>
      <c r="U106" s="131"/>
      <c r="V106" s="131"/>
      <c r="W106" s="265"/>
      <c r="X106" s="265"/>
      <c r="Y106" s="265"/>
      <c r="Z106" s="265"/>
      <c r="AA106" s="265"/>
      <c r="AB106" s="265"/>
      <c r="AC106" s="265"/>
      <c r="AD106" s="265"/>
      <c r="AE106" s="131"/>
      <c r="AF106" s="131"/>
      <c r="AG106" s="131"/>
      <c r="AH106" s="268"/>
      <c r="AI106" s="268"/>
      <c r="AJ106" s="268"/>
      <c r="AK106" s="268"/>
      <c r="AL106" s="268"/>
      <c r="AM106" s="131"/>
      <c r="AN106" s="131"/>
      <c r="AO106" s="131"/>
      <c r="AP106" s="131"/>
      <c r="AQ106" s="131"/>
      <c r="AT106" s="131"/>
      <c r="AU106" s="131"/>
      <c r="AV106" s="131"/>
      <c r="AW106" s="131"/>
      <c r="AX106" s="131"/>
      <c r="AY106" s="433"/>
      <c r="AZ106" s="131"/>
      <c r="BA106" s="131"/>
      <c r="CD106" s="133"/>
    </row>
    <row r="107" spans="2:82" ht="3.95" customHeight="1" x14ac:dyDescent="0.2">
      <c r="B107" s="280"/>
      <c r="C107" s="135"/>
      <c r="D107" s="135"/>
      <c r="E107" s="135"/>
      <c r="F107" s="135"/>
      <c r="G107" s="135"/>
      <c r="H107" s="135"/>
      <c r="I107" s="135"/>
      <c r="J107" s="135"/>
      <c r="K107" s="135"/>
      <c r="L107" s="135"/>
      <c r="M107" s="135"/>
      <c r="N107" s="135"/>
      <c r="O107" s="135"/>
      <c r="P107" s="135"/>
      <c r="Q107" s="135"/>
      <c r="R107" s="135"/>
      <c r="S107" s="135"/>
      <c r="T107" s="135"/>
      <c r="U107" s="135"/>
      <c r="V107" s="135"/>
      <c r="W107" s="135"/>
      <c r="X107" s="135"/>
      <c r="Y107" s="135"/>
      <c r="Z107" s="135"/>
      <c r="AA107" s="135"/>
      <c r="AB107" s="135"/>
      <c r="AC107" s="135"/>
      <c r="AD107" s="135"/>
      <c r="AE107" s="135"/>
      <c r="AF107" s="135"/>
      <c r="AG107" s="135"/>
      <c r="AH107" s="135"/>
      <c r="AI107" s="135"/>
      <c r="AJ107" s="135"/>
      <c r="AK107" s="135"/>
      <c r="AL107" s="135"/>
      <c r="AM107" s="135"/>
      <c r="AN107" s="135"/>
      <c r="AO107" s="135"/>
      <c r="AP107" s="135"/>
      <c r="AQ107" s="135"/>
      <c r="AR107" s="135"/>
      <c r="AS107" s="135"/>
      <c r="AT107" s="135"/>
      <c r="AU107" s="135"/>
      <c r="AV107" s="135"/>
      <c r="AW107" s="135"/>
      <c r="AX107" s="135"/>
      <c r="AY107" s="434"/>
      <c r="AZ107" s="135"/>
      <c r="BA107" s="135"/>
      <c r="BB107" s="135"/>
      <c r="BC107" s="135"/>
      <c r="BD107" s="135"/>
      <c r="BE107" s="135"/>
      <c r="BF107" s="135"/>
      <c r="BG107" s="135"/>
      <c r="BH107" s="135"/>
      <c r="BI107" s="135"/>
      <c r="BJ107" s="135"/>
      <c r="BK107" s="135"/>
      <c r="BL107" s="135"/>
      <c r="BM107" s="135"/>
      <c r="BN107" s="135"/>
      <c r="BO107" s="135"/>
      <c r="BP107" s="135"/>
      <c r="BQ107" s="135"/>
      <c r="BR107" s="135"/>
      <c r="BS107" s="135"/>
      <c r="BT107" s="135"/>
      <c r="BU107" s="135"/>
      <c r="BV107" s="135"/>
      <c r="BW107" s="135"/>
      <c r="BX107" s="135"/>
      <c r="BY107" s="135"/>
      <c r="BZ107" s="135"/>
      <c r="CA107" s="135"/>
      <c r="CB107" s="135"/>
      <c r="CC107" s="135"/>
      <c r="CD107" s="136"/>
    </row>
    <row r="108" spans="2:82" x14ac:dyDescent="0.2">
      <c r="B108" s="145" t="s">
        <v>227</v>
      </c>
      <c r="C108" s="276"/>
      <c r="D108" s="276"/>
      <c r="K108" s="270"/>
      <c r="L108" s="270"/>
      <c r="Q108" s="131"/>
      <c r="R108" s="131"/>
      <c r="S108" s="131"/>
      <c r="T108" s="265"/>
      <c r="U108" s="265"/>
      <c r="V108" s="265"/>
      <c r="W108" s="131"/>
      <c r="X108" s="131"/>
      <c r="Y108" s="131"/>
      <c r="Z108" s="131"/>
      <c r="AA108" s="131"/>
      <c r="AB108" s="131"/>
      <c r="AC108" s="131"/>
      <c r="AD108" s="131"/>
      <c r="AE108" s="268"/>
      <c r="AF108" s="268"/>
      <c r="AG108" s="268"/>
      <c r="AH108" s="131"/>
      <c r="AI108" s="131"/>
      <c r="AJ108" s="131"/>
      <c r="AK108" s="131"/>
      <c r="AL108" s="131"/>
      <c r="AM108" s="131"/>
      <c r="AN108" s="131"/>
      <c r="AO108" s="131"/>
      <c r="AP108" s="131"/>
      <c r="AQ108" s="131"/>
      <c r="AT108" s="131"/>
      <c r="AU108" s="131"/>
      <c r="AV108" s="131"/>
      <c r="AW108" s="131"/>
      <c r="AX108" s="131"/>
      <c r="AY108" s="433"/>
      <c r="AZ108" s="131"/>
      <c r="BA108" s="131"/>
      <c r="CD108" s="133"/>
    </row>
    <row r="109" spans="2:82" ht="3.95" customHeight="1" x14ac:dyDescent="0.2">
      <c r="B109" s="280"/>
      <c r="C109" s="135"/>
      <c r="D109" s="135"/>
      <c r="E109" s="135"/>
      <c r="F109" s="135"/>
      <c r="G109" s="135"/>
      <c r="H109" s="135"/>
      <c r="I109" s="135"/>
      <c r="J109" s="135"/>
      <c r="K109" s="135"/>
      <c r="L109" s="135"/>
      <c r="M109" s="135"/>
      <c r="N109" s="135"/>
      <c r="O109" s="135"/>
      <c r="P109" s="135"/>
      <c r="Q109" s="135"/>
      <c r="R109" s="135"/>
      <c r="S109" s="135"/>
      <c r="T109" s="135"/>
      <c r="U109" s="135"/>
      <c r="V109" s="135"/>
      <c r="W109" s="135"/>
      <c r="X109" s="135"/>
      <c r="Y109" s="135"/>
      <c r="Z109" s="135"/>
      <c r="AA109" s="135"/>
      <c r="AB109" s="135"/>
      <c r="AC109" s="135"/>
      <c r="AD109" s="135"/>
      <c r="AE109" s="135"/>
      <c r="AF109" s="135"/>
      <c r="AG109" s="135"/>
      <c r="AH109" s="135"/>
      <c r="AI109" s="135"/>
      <c r="AJ109" s="135"/>
      <c r="AK109" s="135"/>
      <c r="AL109" s="135"/>
      <c r="AM109" s="135"/>
      <c r="AN109" s="135"/>
      <c r="AO109" s="135"/>
      <c r="AP109" s="135"/>
      <c r="AQ109" s="135"/>
      <c r="AR109" s="135"/>
      <c r="AS109" s="135"/>
      <c r="AT109" s="135"/>
      <c r="AU109" s="135"/>
      <c r="AV109" s="135"/>
      <c r="AW109" s="135"/>
      <c r="AX109" s="135"/>
      <c r="AY109" s="434"/>
      <c r="AZ109" s="135"/>
      <c r="BA109" s="135"/>
      <c r="BB109" s="135"/>
      <c r="BC109" s="135"/>
      <c r="BD109" s="135"/>
      <c r="BE109" s="135"/>
      <c r="BF109" s="135"/>
      <c r="BG109" s="135"/>
      <c r="BH109" s="135"/>
      <c r="BI109" s="135"/>
      <c r="BJ109" s="135"/>
      <c r="BK109" s="135"/>
      <c r="BL109" s="135"/>
      <c r="BM109" s="135"/>
      <c r="BN109" s="135"/>
      <c r="BO109" s="135"/>
      <c r="BP109" s="135"/>
      <c r="BQ109" s="135"/>
      <c r="BR109" s="135"/>
      <c r="BS109" s="135"/>
      <c r="BT109" s="135"/>
      <c r="BU109" s="135"/>
      <c r="BV109" s="135"/>
      <c r="BW109" s="135"/>
      <c r="BX109" s="135"/>
      <c r="BY109" s="135"/>
      <c r="BZ109" s="135"/>
      <c r="CA109" s="135"/>
      <c r="CB109" s="135"/>
      <c r="CC109" s="135"/>
      <c r="CD109" s="136"/>
    </row>
    <row r="110" spans="2:82" hidden="1" x14ac:dyDescent="0.2">
      <c r="B110" s="291" t="s">
        <v>225</v>
      </c>
      <c r="C110" s="141"/>
      <c r="D110" s="131"/>
      <c r="E110" s="131"/>
      <c r="O110" s="131"/>
      <c r="P110" s="131"/>
      <c r="Q110" s="131"/>
      <c r="R110" s="131"/>
      <c r="S110" s="131"/>
      <c r="T110" s="131"/>
      <c r="U110" s="131"/>
      <c r="V110" s="131"/>
      <c r="W110" s="131"/>
      <c r="X110" s="131"/>
      <c r="Y110" s="131"/>
      <c r="Z110" s="131"/>
      <c r="AA110" s="131"/>
      <c r="AL110" s="131"/>
      <c r="AM110" s="131"/>
      <c r="AN110" s="131"/>
      <c r="AO110" s="131"/>
      <c r="AP110" s="131"/>
      <c r="AQ110" s="131"/>
      <c r="AR110" s="131"/>
      <c r="AS110" s="131"/>
      <c r="AT110" s="131"/>
      <c r="AU110" s="131"/>
      <c r="AV110" s="131"/>
      <c r="AW110" s="131"/>
      <c r="AX110" s="131"/>
      <c r="AY110" s="433"/>
      <c r="AZ110" s="131"/>
      <c r="BA110" s="131"/>
      <c r="BB110" s="131"/>
      <c r="BC110" s="131"/>
      <c r="BD110" s="131"/>
      <c r="BE110" s="131"/>
      <c r="BF110" s="131"/>
      <c r="BG110" s="131"/>
      <c r="CD110" s="133"/>
    </row>
    <row r="111" spans="2:82" ht="3.95" hidden="1" customHeight="1" x14ac:dyDescent="0.2">
      <c r="B111" s="292"/>
      <c r="C111" s="135"/>
      <c r="D111" s="135"/>
      <c r="E111" s="135"/>
      <c r="F111" s="135"/>
      <c r="G111" s="135"/>
      <c r="H111" s="135"/>
      <c r="I111" s="135"/>
      <c r="J111" s="135"/>
      <c r="K111" s="135"/>
      <c r="L111" s="135"/>
      <c r="M111" s="135"/>
      <c r="N111" s="135"/>
      <c r="O111" s="135"/>
      <c r="P111" s="135"/>
      <c r="Q111" s="135"/>
      <c r="R111" s="135"/>
      <c r="S111" s="135"/>
      <c r="T111" s="135"/>
      <c r="U111" s="135"/>
      <c r="V111" s="135"/>
      <c r="W111" s="135"/>
      <c r="X111" s="135"/>
      <c r="Y111" s="135"/>
      <c r="Z111" s="135"/>
      <c r="AA111" s="135"/>
      <c r="AB111" s="135"/>
      <c r="AC111" s="135"/>
      <c r="AD111" s="135"/>
      <c r="AE111" s="135"/>
      <c r="AF111" s="135"/>
      <c r="AG111" s="135"/>
      <c r="AH111" s="135"/>
      <c r="AI111" s="135"/>
      <c r="AJ111" s="135"/>
      <c r="AK111" s="135"/>
      <c r="AL111" s="135"/>
      <c r="AM111" s="135"/>
      <c r="AN111" s="135"/>
      <c r="AO111" s="135"/>
      <c r="AP111" s="135"/>
      <c r="AQ111" s="135"/>
      <c r="AR111" s="135"/>
      <c r="AS111" s="135"/>
      <c r="AT111" s="135"/>
      <c r="AU111" s="135"/>
      <c r="AV111" s="135"/>
      <c r="AW111" s="135"/>
      <c r="AX111" s="135"/>
      <c r="AY111" s="434"/>
      <c r="AZ111" s="135"/>
      <c r="BA111" s="135"/>
      <c r="BB111" s="135"/>
      <c r="BC111" s="135"/>
      <c r="BD111" s="135"/>
      <c r="BE111" s="135"/>
      <c r="BF111" s="135"/>
      <c r="BG111" s="135"/>
      <c r="BH111" s="135"/>
      <c r="BI111" s="135"/>
      <c r="BJ111" s="135"/>
      <c r="BK111" s="135"/>
      <c r="BL111" s="135"/>
      <c r="BM111" s="135"/>
      <c r="BN111" s="135"/>
      <c r="BO111" s="135"/>
      <c r="BP111" s="135"/>
      <c r="BQ111" s="135"/>
      <c r="BR111" s="135"/>
      <c r="BS111" s="135"/>
      <c r="BT111" s="135"/>
      <c r="BU111" s="135"/>
      <c r="BV111" s="135"/>
      <c r="BW111" s="135"/>
      <c r="BX111" s="135"/>
      <c r="BY111" s="135"/>
      <c r="BZ111" s="135"/>
      <c r="CA111" s="135"/>
      <c r="CB111" s="135"/>
      <c r="CC111" s="135"/>
      <c r="CD111" s="136"/>
    </row>
    <row r="112" spans="2:82" hidden="1" x14ac:dyDescent="0.2">
      <c r="B112" s="291" t="s">
        <v>226</v>
      </c>
      <c r="Q112" s="131"/>
      <c r="R112" s="131"/>
      <c r="S112" s="131"/>
      <c r="T112" s="131"/>
      <c r="U112" s="131"/>
      <c r="V112" s="131"/>
      <c r="W112" s="131"/>
      <c r="X112" s="131"/>
      <c r="Y112" s="131"/>
      <c r="Z112" s="131"/>
      <c r="AA112" s="131"/>
      <c r="AB112" s="131"/>
      <c r="AC112" s="131"/>
      <c r="AD112" s="131"/>
      <c r="AE112" s="131"/>
      <c r="AF112" s="131"/>
      <c r="AG112" s="131"/>
      <c r="AH112" s="131"/>
      <c r="AI112" s="131"/>
      <c r="AJ112" s="131"/>
      <c r="AK112" s="131"/>
      <c r="AL112" s="131"/>
      <c r="AM112" s="131"/>
      <c r="AN112" s="131"/>
      <c r="AO112" s="131"/>
      <c r="AP112" s="131"/>
      <c r="AQ112" s="131"/>
      <c r="AT112" s="131"/>
      <c r="AU112" s="131"/>
      <c r="AV112" s="131"/>
      <c r="AW112" s="131"/>
      <c r="AX112" s="131"/>
      <c r="AY112" s="433"/>
      <c r="AZ112" s="131"/>
      <c r="BA112" s="131"/>
      <c r="CD112" s="133"/>
    </row>
    <row r="113" spans="2:82" ht="3.95" hidden="1" customHeight="1" x14ac:dyDescent="0.2">
      <c r="B113" s="280"/>
      <c r="C113" s="135"/>
      <c r="D113" s="135"/>
      <c r="E113" s="135"/>
      <c r="F113" s="135"/>
      <c r="G113" s="135"/>
      <c r="H113" s="135"/>
      <c r="I113" s="135"/>
      <c r="J113" s="135"/>
      <c r="K113" s="135"/>
      <c r="L113" s="135"/>
      <c r="M113" s="135"/>
      <c r="N113" s="135"/>
      <c r="O113" s="135"/>
      <c r="P113" s="135"/>
      <c r="Q113" s="135"/>
      <c r="R113" s="135"/>
      <c r="S113" s="135"/>
      <c r="T113" s="135"/>
      <c r="U113" s="135"/>
      <c r="V113" s="135"/>
      <c r="W113" s="135"/>
      <c r="X113" s="135"/>
      <c r="Y113" s="135"/>
      <c r="Z113" s="135"/>
      <c r="AA113" s="135"/>
      <c r="AB113" s="135"/>
      <c r="AC113" s="135"/>
      <c r="AD113" s="135"/>
      <c r="AE113" s="135"/>
      <c r="AF113" s="135"/>
      <c r="AG113" s="135"/>
      <c r="AH113" s="135"/>
      <c r="AI113" s="135"/>
      <c r="AJ113" s="135"/>
      <c r="AK113" s="135"/>
      <c r="AL113" s="135"/>
      <c r="AM113" s="135"/>
      <c r="AN113" s="135"/>
      <c r="AO113" s="135"/>
      <c r="AP113" s="135"/>
      <c r="AQ113" s="135"/>
      <c r="AR113" s="135"/>
      <c r="AS113" s="135"/>
      <c r="AT113" s="135"/>
      <c r="AU113" s="135"/>
      <c r="AV113" s="135"/>
      <c r="AW113" s="135"/>
      <c r="AX113" s="135"/>
      <c r="AY113" s="434"/>
      <c r="AZ113" s="135"/>
      <c r="BA113" s="135"/>
      <c r="BB113" s="135"/>
      <c r="BC113" s="135"/>
      <c r="BD113" s="135"/>
      <c r="BE113" s="135"/>
      <c r="BF113" s="135"/>
      <c r="BG113" s="135"/>
      <c r="BH113" s="135"/>
      <c r="BI113" s="135"/>
      <c r="BJ113" s="135"/>
      <c r="BK113" s="135"/>
      <c r="BL113" s="135"/>
      <c r="BM113" s="135"/>
      <c r="BN113" s="135"/>
      <c r="BO113" s="135"/>
      <c r="BP113" s="135"/>
      <c r="BQ113" s="135"/>
      <c r="BR113" s="135"/>
      <c r="BS113" s="135"/>
      <c r="BT113" s="135"/>
      <c r="BU113" s="135"/>
      <c r="BV113" s="135"/>
      <c r="BW113" s="135"/>
      <c r="BX113" s="135"/>
      <c r="BY113" s="135"/>
      <c r="BZ113" s="135"/>
      <c r="CA113" s="135"/>
      <c r="CB113" s="135"/>
      <c r="CC113" s="135"/>
      <c r="CD113" s="136"/>
    </row>
    <row r="114" spans="2:82" x14ac:dyDescent="0.2">
      <c r="B114" s="284" t="s">
        <v>228</v>
      </c>
      <c r="E114" s="272"/>
      <c r="F114" s="272"/>
      <c r="G114" s="272"/>
      <c r="H114" s="272"/>
      <c r="L114" s="267"/>
      <c r="M114" s="267"/>
      <c r="N114" s="267"/>
      <c r="O114" s="267"/>
      <c r="P114" s="267"/>
      <c r="Q114" s="267"/>
      <c r="R114" s="267"/>
      <c r="S114" s="131"/>
      <c r="U114" s="273"/>
      <c r="V114" s="273"/>
      <c r="W114" s="273"/>
      <c r="X114" s="273"/>
      <c r="Y114" s="273"/>
      <c r="Z114" s="273"/>
      <c r="AD114" s="277"/>
      <c r="AE114" s="277"/>
      <c r="AF114" s="277"/>
      <c r="AG114" s="131"/>
      <c r="AH114" s="131"/>
      <c r="AJ114" s="269"/>
      <c r="AK114" s="269"/>
      <c r="AL114" s="269"/>
      <c r="AM114" s="269"/>
      <c r="AN114" s="269"/>
      <c r="AO114" s="269"/>
      <c r="AP114" s="131"/>
      <c r="AQ114" s="131"/>
      <c r="AT114" s="131"/>
      <c r="AY114" s="435"/>
      <c r="CD114" s="133"/>
    </row>
    <row r="115" spans="2:82" ht="3.95" customHeight="1" x14ac:dyDescent="0.2">
      <c r="B115" s="280"/>
      <c r="C115" s="135"/>
      <c r="D115" s="135"/>
      <c r="E115" s="135"/>
      <c r="F115" s="135"/>
      <c r="G115" s="135"/>
      <c r="H115" s="135"/>
      <c r="I115" s="135"/>
      <c r="J115" s="135"/>
      <c r="K115" s="135"/>
      <c r="L115" s="135"/>
      <c r="M115" s="135"/>
      <c r="N115" s="135"/>
      <c r="O115" s="135"/>
      <c r="P115" s="135"/>
      <c r="Q115" s="135"/>
      <c r="R115" s="135"/>
      <c r="S115" s="135"/>
      <c r="T115" s="135"/>
      <c r="U115" s="135"/>
      <c r="V115" s="135"/>
      <c r="W115" s="135"/>
      <c r="X115" s="135"/>
      <c r="Y115" s="135"/>
      <c r="Z115" s="135"/>
      <c r="AA115" s="135"/>
      <c r="AB115" s="135"/>
      <c r="AC115" s="135"/>
      <c r="AD115" s="135"/>
      <c r="AE115" s="135"/>
      <c r="AF115" s="135"/>
      <c r="AG115" s="135"/>
      <c r="AH115" s="135"/>
      <c r="AI115" s="135"/>
      <c r="AJ115" s="135"/>
      <c r="AK115" s="135"/>
      <c r="AL115" s="135"/>
      <c r="AM115" s="135"/>
      <c r="AN115" s="135"/>
      <c r="AO115" s="135"/>
      <c r="AP115" s="135"/>
      <c r="AQ115" s="135"/>
      <c r="AR115" s="135"/>
      <c r="AS115" s="135"/>
      <c r="AT115" s="135"/>
      <c r="AU115" s="135"/>
      <c r="AV115" s="135"/>
      <c r="AW115" s="135"/>
      <c r="AX115" s="135"/>
      <c r="AY115" s="434"/>
      <c r="AZ115" s="135"/>
      <c r="BA115" s="135"/>
      <c r="BB115" s="135"/>
      <c r="BC115" s="135"/>
      <c r="BD115" s="135"/>
      <c r="BE115" s="135"/>
      <c r="BF115" s="135"/>
      <c r="BG115" s="135"/>
      <c r="BH115" s="135"/>
      <c r="BI115" s="135"/>
      <c r="BJ115" s="135"/>
      <c r="BK115" s="135"/>
      <c r="BL115" s="135"/>
      <c r="BM115" s="135"/>
      <c r="BN115" s="135"/>
      <c r="BO115" s="135"/>
      <c r="BP115" s="135"/>
      <c r="BQ115" s="135"/>
      <c r="BR115" s="135"/>
      <c r="BS115" s="135"/>
      <c r="BT115" s="135"/>
      <c r="BU115" s="135"/>
      <c r="BV115" s="135"/>
      <c r="BW115" s="135"/>
      <c r="BX115" s="135"/>
      <c r="BY115" s="135"/>
      <c r="BZ115" s="135"/>
      <c r="CA115" s="135"/>
      <c r="CB115" s="135"/>
      <c r="CC115" s="135"/>
      <c r="CD115" s="136"/>
    </row>
    <row r="116" spans="2:82" x14ac:dyDescent="0.2">
      <c r="B116" s="145" t="s">
        <v>234</v>
      </c>
      <c r="C116" s="272"/>
      <c r="D116" s="272"/>
      <c r="E116" s="131"/>
      <c r="J116" s="267"/>
      <c r="K116" s="267"/>
      <c r="N116" s="131"/>
      <c r="O116" s="131"/>
      <c r="P116" s="131"/>
      <c r="S116" s="273"/>
      <c r="T116" s="273"/>
      <c r="U116" s="131"/>
      <c r="V116" s="131"/>
      <c r="W116" s="131"/>
      <c r="X116" s="131"/>
      <c r="AA116" s="277"/>
      <c r="AB116" s="277"/>
      <c r="AC116" s="277"/>
      <c r="AD116" s="131"/>
      <c r="AE116" s="131"/>
      <c r="AF116" s="131"/>
      <c r="AG116" s="269"/>
      <c r="AH116" s="269"/>
      <c r="AI116" s="269"/>
      <c r="AP116" s="131"/>
      <c r="AQ116" s="131"/>
      <c r="AR116" s="131"/>
      <c r="AS116" s="131"/>
      <c r="AT116" s="131"/>
      <c r="AY116" s="435"/>
      <c r="BD116" s="131"/>
      <c r="BE116" s="131"/>
      <c r="BF116" s="131"/>
      <c r="BG116" s="131"/>
      <c r="CD116" s="133"/>
    </row>
    <row r="117" spans="2:82" ht="3.95" customHeight="1" x14ac:dyDescent="0.2">
      <c r="B117" s="280"/>
      <c r="C117" s="135"/>
      <c r="D117" s="135"/>
      <c r="E117" s="135"/>
      <c r="F117" s="135"/>
      <c r="G117" s="135"/>
      <c r="H117" s="135"/>
      <c r="I117" s="135"/>
      <c r="J117" s="135"/>
      <c r="K117" s="135"/>
      <c r="L117" s="135"/>
      <c r="M117" s="135"/>
      <c r="N117" s="135"/>
      <c r="O117" s="135"/>
      <c r="P117" s="135"/>
      <c r="Q117" s="135"/>
      <c r="R117" s="135"/>
      <c r="S117" s="135"/>
      <c r="T117" s="135"/>
      <c r="U117" s="135"/>
      <c r="V117" s="135"/>
      <c r="W117" s="135"/>
      <c r="X117" s="135"/>
      <c r="Y117" s="135"/>
      <c r="Z117" s="135"/>
      <c r="AA117" s="135"/>
      <c r="AB117" s="135"/>
      <c r="AC117" s="135"/>
      <c r="AD117" s="135"/>
      <c r="AE117" s="135"/>
      <c r="AF117" s="135"/>
      <c r="AG117" s="135"/>
      <c r="AH117" s="135"/>
      <c r="AI117" s="135"/>
      <c r="AJ117" s="135"/>
      <c r="AK117" s="135"/>
      <c r="AL117" s="135"/>
      <c r="AM117" s="135"/>
      <c r="AN117" s="135"/>
      <c r="AO117" s="135"/>
      <c r="AP117" s="135"/>
      <c r="AQ117" s="135"/>
      <c r="AR117" s="135"/>
      <c r="AS117" s="135"/>
      <c r="AT117" s="135"/>
      <c r="AU117" s="135"/>
      <c r="AV117" s="135"/>
      <c r="AW117" s="135"/>
      <c r="AX117" s="135"/>
      <c r="AY117" s="434"/>
      <c r="AZ117" s="135"/>
      <c r="BA117" s="135"/>
      <c r="BB117" s="135"/>
      <c r="BC117" s="135"/>
      <c r="BD117" s="135"/>
      <c r="BE117" s="135"/>
      <c r="BF117" s="135"/>
      <c r="BG117" s="135"/>
      <c r="BH117" s="135"/>
      <c r="BI117" s="135"/>
      <c r="BJ117" s="135"/>
      <c r="BK117" s="135"/>
      <c r="BL117" s="135"/>
      <c r="BM117" s="135"/>
      <c r="BN117" s="135"/>
      <c r="BO117" s="135"/>
      <c r="BP117" s="135"/>
      <c r="BQ117" s="135"/>
      <c r="BR117" s="135"/>
      <c r="BS117" s="135"/>
      <c r="BT117" s="135"/>
      <c r="BU117" s="135"/>
      <c r="BV117" s="135"/>
      <c r="BW117" s="135"/>
      <c r="BX117" s="135"/>
      <c r="BY117" s="135"/>
      <c r="BZ117" s="135"/>
      <c r="CA117" s="135"/>
      <c r="CB117" s="135"/>
      <c r="CC117" s="135"/>
      <c r="CD117" s="136"/>
    </row>
    <row r="118" spans="2:82" x14ac:dyDescent="0.2">
      <c r="B118" s="284" t="s">
        <v>229</v>
      </c>
      <c r="C118" s="141"/>
      <c r="D118" s="131"/>
      <c r="E118" s="265"/>
      <c r="F118" s="265"/>
      <c r="G118" s="265"/>
      <c r="H118" s="265"/>
      <c r="M118" s="271"/>
      <c r="N118" s="271"/>
      <c r="O118" s="271"/>
      <c r="P118" s="271"/>
      <c r="Q118" s="271"/>
      <c r="R118" s="271"/>
      <c r="S118" s="131"/>
      <c r="U118" s="274"/>
      <c r="V118" s="274"/>
      <c r="W118" s="274"/>
      <c r="X118" s="274"/>
      <c r="Y118" s="274"/>
      <c r="Z118" s="131"/>
      <c r="AA118" s="131"/>
      <c r="AB118" s="131"/>
      <c r="AD118" s="266"/>
      <c r="AE118" s="266"/>
      <c r="AF118" s="266"/>
      <c r="AG118" s="266"/>
      <c r="AH118" s="266"/>
      <c r="AI118" s="131"/>
      <c r="AJ118" s="131"/>
      <c r="AK118" s="275"/>
      <c r="AL118" s="275"/>
      <c r="AM118" s="275"/>
      <c r="AN118" s="275"/>
      <c r="AO118" s="131"/>
      <c r="AP118" s="131"/>
      <c r="AQ118" s="278"/>
      <c r="AR118" s="278"/>
      <c r="AS118" s="278"/>
      <c r="AT118" s="278"/>
      <c r="AY118" s="435"/>
      <c r="BA118" s="131"/>
      <c r="BB118" s="131"/>
      <c r="BC118" s="131"/>
      <c r="BD118" s="131"/>
      <c r="BE118" s="131"/>
      <c r="BF118" s="131"/>
      <c r="BG118" s="131"/>
      <c r="CD118" s="133"/>
    </row>
    <row r="119" spans="2:82" ht="3.95" customHeight="1" x14ac:dyDescent="0.2">
      <c r="B119" s="280"/>
      <c r="C119" s="135"/>
      <c r="D119" s="135"/>
      <c r="E119" s="135"/>
      <c r="F119" s="135"/>
      <c r="G119" s="135"/>
      <c r="H119" s="135"/>
      <c r="J119" s="135"/>
      <c r="K119" s="135"/>
      <c r="L119" s="135"/>
      <c r="M119" s="135"/>
      <c r="N119" s="135"/>
      <c r="O119" s="135"/>
      <c r="P119" s="135"/>
      <c r="Q119" s="135"/>
      <c r="R119" s="135"/>
      <c r="S119" s="135"/>
      <c r="T119" s="135"/>
      <c r="U119" s="135"/>
      <c r="V119" s="135"/>
      <c r="W119" s="135"/>
      <c r="X119" s="135"/>
      <c r="Y119" s="135"/>
      <c r="Z119" s="135"/>
      <c r="AA119" s="135"/>
      <c r="AB119" s="135"/>
      <c r="AC119" s="135"/>
      <c r="AD119" s="135"/>
      <c r="AE119" s="135"/>
      <c r="AF119" s="135"/>
      <c r="AG119" s="135"/>
      <c r="AH119" s="135"/>
      <c r="AI119" s="135"/>
      <c r="AJ119" s="135"/>
      <c r="AK119" s="135"/>
      <c r="AL119" s="135"/>
      <c r="AM119" s="135"/>
      <c r="AN119" s="135"/>
      <c r="AO119" s="135"/>
      <c r="AP119" s="135"/>
      <c r="AQ119" s="135"/>
      <c r="AR119" s="135"/>
      <c r="AS119" s="135"/>
      <c r="AT119" s="135"/>
      <c r="AU119" s="135"/>
      <c r="AV119" s="135"/>
      <c r="AW119" s="135"/>
      <c r="AX119" s="135"/>
      <c r="AY119" s="434"/>
      <c r="AZ119" s="135"/>
      <c r="BA119" s="135"/>
      <c r="BB119" s="135"/>
      <c r="BC119" s="135"/>
      <c r="BD119" s="135"/>
      <c r="BE119" s="135"/>
      <c r="BF119" s="135"/>
      <c r="BG119" s="135"/>
      <c r="BH119" s="135"/>
      <c r="BI119" s="135"/>
      <c r="BJ119" s="135"/>
      <c r="BK119" s="135"/>
      <c r="BL119" s="135"/>
      <c r="BM119" s="135"/>
      <c r="BN119" s="135"/>
      <c r="BO119" s="135"/>
      <c r="BP119" s="135"/>
      <c r="BQ119" s="135"/>
      <c r="BR119" s="135"/>
      <c r="BS119" s="135"/>
      <c r="BT119" s="135"/>
      <c r="BU119" s="135"/>
      <c r="BV119" s="135"/>
      <c r="BW119" s="135"/>
      <c r="BX119" s="135"/>
      <c r="BY119" s="135"/>
      <c r="BZ119" s="135"/>
      <c r="CA119" s="135"/>
      <c r="CB119" s="135"/>
      <c r="CC119" s="135"/>
      <c r="CD119" s="136"/>
    </row>
    <row r="120" spans="2:82" x14ac:dyDescent="0.2">
      <c r="B120" s="145" t="s">
        <v>235</v>
      </c>
      <c r="C120" s="265"/>
      <c r="D120" s="265"/>
      <c r="J120" s="271"/>
      <c r="K120" s="271"/>
      <c r="L120" s="271"/>
      <c r="Q120" s="131"/>
      <c r="S120" s="274"/>
      <c r="T120" s="274"/>
      <c r="U120" s="131"/>
      <c r="V120" s="131"/>
      <c r="W120" s="131"/>
      <c r="X120" s="131"/>
      <c r="Y120" s="131"/>
      <c r="Z120" s="266"/>
      <c r="AA120" s="266"/>
      <c r="AB120" s="266"/>
      <c r="AC120" s="266"/>
      <c r="AD120" s="131"/>
      <c r="AE120" s="131"/>
      <c r="AF120" s="131"/>
      <c r="AG120" s="131"/>
      <c r="AH120" s="131"/>
      <c r="AI120" s="275"/>
      <c r="AJ120" s="275"/>
      <c r="AK120" s="131"/>
      <c r="AL120" s="131"/>
      <c r="AO120" s="278"/>
      <c r="AP120" s="278"/>
      <c r="AQ120" s="131"/>
      <c r="AR120" s="131"/>
      <c r="AS120" s="131"/>
      <c r="AT120" s="131"/>
      <c r="AY120" s="435"/>
      <c r="BA120" s="131"/>
      <c r="CD120" s="133"/>
    </row>
    <row r="121" spans="2:82" ht="3.95" customHeight="1" x14ac:dyDescent="0.2">
      <c r="B121" s="280"/>
      <c r="C121" s="135"/>
      <c r="D121" s="135"/>
      <c r="E121" s="135"/>
      <c r="F121" s="135"/>
      <c r="G121" s="135"/>
      <c r="H121" s="135"/>
      <c r="I121" s="135"/>
      <c r="J121" s="135"/>
      <c r="K121" s="135"/>
      <c r="L121" s="135"/>
      <c r="M121" s="135"/>
      <c r="N121" s="135"/>
      <c r="O121" s="135"/>
      <c r="P121" s="135"/>
      <c r="Q121" s="135"/>
      <c r="R121" s="135"/>
      <c r="S121" s="135"/>
      <c r="T121" s="135"/>
      <c r="U121" s="135"/>
      <c r="V121" s="135"/>
      <c r="W121" s="135"/>
      <c r="X121" s="135"/>
      <c r="Y121" s="135"/>
      <c r="Z121" s="135"/>
      <c r="AA121" s="135"/>
      <c r="AB121" s="135"/>
      <c r="AC121" s="135"/>
      <c r="AD121" s="135"/>
      <c r="AE121" s="135"/>
      <c r="AF121" s="135"/>
      <c r="AG121" s="135"/>
      <c r="AH121" s="135"/>
      <c r="AI121" s="135"/>
      <c r="AJ121" s="135"/>
      <c r="AK121" s="135"/>
      <c r="AL121" s="135"/>
      <c r="AM121" s="135"/>
      <c r="AN121" s="135"/>
      <c r="AO121" s="135"/>
      <c r="AP121" s="135"/>
      <c r="AQ121" s="135"/>
      <c r="AR121" s="135"/>
      <c r="AS121" s="135"/>
      <c r="AT121" s="135"/>
      <c r="AU121" s="135"/>
      <c r="AV121" s="135"/>
      <c r="AW121" s="135"/>
      <c r="AX121" s="135"/>
      <c r="AY121" s="434"/>
      <c r="AZ121" s="135"/>
      <c r="BA121" s="135"/>
      <c r="BB121" s="135"/>
      <c r="BC121" s="135"/>
      <c r="BD121" s="135"/>
      <c r="BE121" s="135"/>
      <c r="BF121" s="135"/>
      <c r="BG121" s="135"/>
      <c r="BH121" s="135"/>
      <c r="BI121" s="135"/>
      <c r="BJ121" s="135"/>
      <c r="BK121" s="135"/>
      <c r="BL121" s="135"/>
      <c r="BM121" s="135"/>
      <c r="BN121" s="135"/>
      <c r="BO121" s="135"/>
      <c r="BP121" s="135"/>
      <c r="BQ121" s="135"/>
      <c r="BR121" s="135"/>
      <c r="BS121" s="135"/>
      <c r="BT121" s="135"/>
      <c r="BU121" s="135"/>
      <c r="BV121" s="135"/>
      <c r="BW121" s="135"/>
      <c r="BX121" s="135"/>
      <c r="BY121" s="135"/>
      <c r="BZ121" s="135"/>
      <c r="CA121" s="135"/>
      <c r="CB121" s="135"/>
      <c r="CC121" s="135"/>
      <c r="CD121" s="136"/>
    </row>
    <row r="122" spans="2:82" x14ac:dyDescent="0.2">
      <c r="B122" s="285" t="s">
        <v>230</v>
      </c>
      <c r="F122" s="271"/>
      <c r="G122" s="271"/>
      <c r="H122" s="271"/>
      <c r="I122" s="271"/>
      <c r="L122" s="272"/>
      <c r="M122" s="272"/>
      <c r="P122" s="276"/>
      <c r="Q122" s="276"/>
      <c r="R122" s="276"/>
      <c r="S122" s="276"/>
      <c r="T122" s="276"/>
      <c r="X122" s="267"/>
      <c r="Y122" s="267"/>
      <c r="Z122" s="267"/>
      <c r="AA122" s="267"/>
      <c r="AB122" s="267"/>
      <c r="AC122" s="267"/>
      <c r="AD122" s="131"/>
      <c r="AG122" s="274"/>
      <c r="AH122" s="274"/>
      <c r="AI122" s="274"/>
      <c r="AJ122" s="274"/>
      <c r="AK122" s="274"/>
      <c r="AL122" s="274"/>
      <c r="AM122" s="274"/>
      <c r="AN122" s="274"/>
      <c r="AO122" s="131"/>
      <c r="AS122" s="266"/>
      <c r="AT122" s="266"/>
      <c r="AU122" s="266"/>
      <c r="AV122" s="266"/>
      <c r="AW122" s="266"/>
      <c r="AX122" s="266"/>
      <c r="AY122" s="433"/>
      <c r="AZ122" s="131"/>
      <c r="BA122" s="131"/>
      <c r="CB122" s="131"/>
      <c r="CD122" s="133"/>
    </row>
    <row r="123" spans="2:82" ht="3.95" customHeight="1" x14ac:dyDescent="0.2">
      <c r="B123" s="280"/>
      <c r="C123" s="135"/>
      <c r="D123" s="135"/>
      <c r="E123" s="135"/>
      <c r="F123" s="135"/>
      <c r="G123" s="135"/>
      <c r="H123" s="135"/>
      <c r="I123" s="135"/>
      <c r="J123" s="135"/>
      <c r="K123" s="135"/>
      <c r="L123" s="135"/>
      <c r="M123" s="135"/>
      <c r="N123" s="135"/>
      <c r="O123" s="135"/>
      <c r="P123" s="135"/>
      <c r="Q123" s="135"/>
      <c r="R123" s="135"/>
      <c r="S123" s="135"/>
      <c r="T123" s="135"/>
      <c r="U123" s="135"/>
      <c r="V123" s="135"/>
      <c r="W123" s="135"/>
      <c r="X123" s="135"/>
      <c r="Y123" s="135"/>
      <c r="Z123" s="135"/>
      <c r="AA123" s="135"/>
      <c r="AB123" s="135"/>
      <c r="AC123" s="135"/>
      <c r="AD123" s="135"/>
      <c r="AE123" s="135"/>
      <c r="AF123" s="135"/>
      <c r="AG123" s="135"/>
      <c r="AH123" s="135"/>
      <c r="AI123" s="135"/>
      <c r="AJ123" s="135"/>
      <c r="AK123" s="135"/>
      <c r="AL123" s="135"/>
      <c r="AM123" s="135"/>
      <c r="AN123" s="135"/>
      <c r="AO123" s="135"/>
      <c r="AP123" s="135"/>
      <c r="AQ123" s="135"/>
      <c r="AR123" s="135"/>
      <c r="AS123" s="135"/>
      <c r="AT123" s="135"/>
      <c r="AU123" s="135"/>
      <c r="AV123" s="135"/>
      <c r="AW123" s="135"/>
      <c r="AX123" s="135"/>
      <c r="AY123" s="434"/>
      <c r="AZ123" s="135"/>
      <c r="BA123" s="135"/>
      <c r="BB123" s="135"/>
      <c r="BC123" s="135"/>
      <c r="BD123" s="135"/>
      <c r="BE123" s="135"/>
      <c r="BF123" s="135"/>
      <c r="BG123" s="135"/>
      <c r="BH123" s="135"/>
      <c r="BI123" s="135"/>
      <c r="BJ123" s="135"/>
      <c r="BK123" s="135"/>
      <c r="BL123" s="135"/>
      <c r="BM123" s="135"/>
      <c r="BN123" s="135"/>
      <c r="BO123" s="135"/>
      <c r="BP123" s="135"/>
      <c r="BQ123" s="135"/>
      <c r="BR123" s="135"/>
      <c r="BS123" s="135"/>
      <c r="BT123" s="135"/>
      <c r="BU123" s="135"/>
      <c r="BV123" s="135"/>
      <c r="BW123" s="135"/>
      <c r="BX123" s="135"/>
      <c r="BY123" s="135"/>
      <c r="BZ123" s="135"/>
      <c r="CA123" s="135"/>
      <c r="CB123" s="135"/>
      <c r="CC123" s="135"/>
      <c r="CD123" s="135"/>
    </row>
    <row r="124" spans="2:82" x14ac:dyDescent="0.2">
      <c r="B124" s="145" t="s">
        <v>231</v>
      </c>
      <c r="C124" s="271"/>
      <c r="D124" s="271"/>
      <c r="E124" s="271"/>
      <c r="J124" s="272"/>
      <c r="K124" s="272"/>
      <c r="N124" s="276"/>
      <c r="O124" s="276"/>
      <c r="U124" s="267"/>
      <c r="V124" s="267"/>
      <c r="W124" s="267"/>
      <c r="AA124" s="131"/>
      <c r="AD124" s="274"/>
      <c r="AE124" s="274"/>
      <c r="AF124" s="274"/>
      <c r="AG124" s="131"/>
      <c r="AH124" s="131"/>
      <c r="AI124" s="131"/>
      <c r="AJ124" s="131"/>
      <c r="AK124" s="131"/>
      <c r="AL124" s="131"/>
      <c r="AO124" s="266"/>
      <c r="AP124" s="266"/>
      <c r="AQ124" s="266"/>
      <c r="AR124" s="266"/>
      <c r="AS124" s="131"/>
      <c r="AT124" s="131"/>
      <c r="AU124" s="131"/>
      <c r="AV124" s="131"/>
      <c r="AY124" s="433"/>
      <c r="AZ124" s="131"/>
      <c r="BA124" s="131"/>
      <c r="CB124" s="131"/>
      <c r="CD124" s="133"/>
    </row>
    <row r="125" spans="2:82" ht="3.95" customHeight="1" x14ac:dyDescent="0.2">
      <c r="B125" s="280"/>
      <c r="C125" s="135"/>
      <c r="D125" s="135"/>
      <c r="E125" s="135"/>
      <c r="F125" s="135"/>
      <c r="G125" s="135"/>
      <c r="H125" s="135"/>
      <c r="I125" s="135"/>
      <c r="J125" s="135"/>
      <c r="K125" s="135"/>
      <c r="L125" s="135"/>
      <c r="M125" s="135"/>
      <c r="N125" s="135"/>
      <c r="O125" s="135"/>
      <c r="P125" s="135"/>
      <c r="Q125" s="135"/>
      <c r="R125" s="135"/>
      <c r="S125" s="135"/>
      <c r="T125" s="135"/>
      <c r="U125" s="135"/>
      <c r="V125" s="135"/>
      <c r="W125" s="135"/>
      <c r="X125" s="135"/>
      <c r="Y125" s="135"/>
      <c r="Z125" s="135"/>
      <c r="AA125" s="135"/>
      <c r="AB125" s="135"/>
      <c r="AC125" s="135"/>
      <c r="AD125" s="135"/>
      <c r="AE125" s="135"/>
      <c r="AF125" s="135"/>
      <c r="AG125" s="135"/>
      <c r="AH125" s="135"/>
      <c r="AI125" s="135"/>
      <c r="AJ125" s="135"/>
      <c r="AK125" s="135"/>
      <c r="AL125" s="135"/>
      <c r="AM125" s="135"/>
      <c r="AN125" s="135"/>
      <c r="AO125" s="135"/>
      <c r="AP125" s="135"/>
      <c r="AQ125" s="135"/>
      <c r="AR125" s="135"/>
      <c r="AS125" s="135"/>
      <c r="AT125" s="135"/>
      <c r="AU125" s="135"/>
      <c r="AV125" s="135"/>
      <c r="AW125" s="135"/>
      <c r="AX125" s="135"/>
      <c r="AY125" s="434"/>
      <c r="AZ125" s="135"/>
      <c r="BA125" s="135"/>
      <c r="BB125" s="135"/>
      <c r="BC125" s="135"/>
      <c r="BD125" s="135"/>
      <c r="BE125" s="135"/>
      <c r="BF125" s="135"/>
      <c r="BG125" s="135"/>
      <c r="BH125" s="135"/>
      <c r="BI125" s="135"/>
      <c r="BJ125" s="135"/>
      <c r="BK125" s="135"/>
      <c r="BL125" s="135"/>
      <c r="BM125" s="135"/>
      <c r="BN125" s="135"/>
      <c r="BO125" s="135"/>
      <c r="BP125" s="135"/>
      <c r="BQ125" s="135"/>
      <c r="BR125" s="135"/>
      <c r="BS125" s="135"/>
      <c r="BT125" s="135"/>
      <c r="BU125" s="135"/>
      <c r="BV125" s="135"/>
      <c r="BW125" s="135"/>
      <c r="BX125" s="135"/>
      <c r="BY125" s="135"/>
      <c r="BZ125" s="135"/>
      <c r="CA125" s="135"/>
      <c r="CB125" s="135"/>
      <c r="CC125" s="135"/>
      <c r="CD125" s="136"/>
    </row>
    <row r="126" spans="2:82" x14ac:dyDescent="0.2">
      <c r="B126" s="285" t="s">
        <v>232</v>
      </c>
      <c r="C126" s="131"/>
      <c r="D126" s="131"/>
      <c r="E126" s="278"/>
      <c r="F126" s="278"/>
      <c r="G126" s="278"/>
      <c r="H126" s="278"/>
      <c r="I126" s="278"/>
      <c r="J126" s="278"/>
      <c r="O126" s="131"/>
      <c r="P126" s="131"/>
      <c r="Q126" s="131"/>
      <c r="V126" s="270"/>
      <c r="W126" s="270"/>
      <c r="X126" s="270"/>
      <c r="Y126" s="270"/>
      <c r="Z126" s="270"/>
      <c r="AA126" s="270"/>
      <c r="AD126" s="273"/>
      <c r="AE126" s="273"/>
      <c r="AF126" s="273"/>
      <c r="AG126" s="273"/>
      <c r="AH126" s="273"/>
      <c r="AI126" s="273"/>
      <c r="AM126" s="277"/>
      <c r="AN126" s="277"/>
      <c r="AO126" s="277"/>
      <c r="AP126" s="277"/>
      <c r="AV126" s="131"/>
      <c r="AW126" s="131"/>
      <c r="AX126" s="131"/>
      <c r="AY126" s="433"/>
      <c r="AZ126" s="131"/>
      <c r="BA126" s="131"/>
      <c r="BB126" s="131"/>
      <c r="BC126" s="131"/>
      <c r="BD126" s="131"/>
      <c r="BE126" s="131"/>
      <c r="BF126" s="131"/>
      <c r="BG126" s="131"/>
      <c r="CD126" s="133"/>
    </row>
    <row r="127" spans="2:82" ht="3.95" customHeight="1" x14ac:dyDescent="0.2">
      <c r="B127" s="280"/>
      <c r="C127" s="135"/>
      <c r="D127" s="135"/>
      <c r="E127" s="135"/>
      <c r="F127" s="135"/>
      <c r="G127" s="135"/>
      <c r="H127" s="135"/>
      <c r="I127" s="135"/>
      <c r="J127" s="135"/>
      <c r="K127" s="135"/>
      <c r="L127" s="135"/>
      <c r="M127" s="135"/>
      <c r="N127" s="135"/>
      <c r="O127" s="135"/>
      <c r="P127" s="135"/>
      <c r="Q127" s="135"/>
      <c r="R127" s="135"/>
      <c r="T127" s="135"/>
      <c r="U127" s="135"/>
      <c r="V127" s="135"/>
      <c r="W127" s="135"/>
      <c r="X127" s="135"/>
      <c r="Y127" s="135"/>
      <c r="Z127" s="135"/>
      <c r="AA127" s="135"/>
      <c r="AB127" s="135"/>
      <c r="AC127" s="135"/>
      <c r="AD127" s="135"/>
      <c r="AE127" s="135"/>
      <c r="AF127" s="135"/>
      <c r="AG127" s="135"/>
      <c r="AH127" s="135"/>
      <c r="AI127" s="135"/>
      <c r="AJ127" s="135"/>
      <c r="AK127" s="135"/>
      <c r="AL127" s="135"/>
      <c r="AM127" s="135"/>
      <c r="AN127" s="135"/>
      <c r="AO127" s="135"/>
      <c r="AP127" s="135"/>
      <c r="AQ127" s="135"/>
      <c r="AR127" s="135"/>
      <c r="AS127" s="135"/>
      <c r="AT127" s="135"/>
      <c r="AU127" s="135"/>
      <c r="AV127" s="135"/>
      <c r="AW127" s="135"/>
      <c r="AX127" s="135"/>
      <c r="AY127" s="434"/>
      <c r="AZ127" s="135"/>
      <c r="BA127" s="135"/>
      <c r="BB127" s="135"/>
      <c r="BC127" s="135"/>
      <c r="BD127" s="135"/>
      <c r="BE127" s="135"/>
      <c r="BF127" s="135"/>
      <c r="BG127" s="135"/>
      <c r="BH127" s="135"/>
      <c r="BI127" s="135"/>
      <c r="BJ127" s="135"/>
      <c r="BK127" s="135"/>
      <c r="BL127" s="135"/>
      <c r="BM127" s="135"/>
      <c r="BN127" s="135"/>
      <c r="BO127" s="135"/>
      <c r="BP127" s="135"/>
      <c r="BQ127" s="135"/>
      <c r="BR127" s="135"/>
      <c r="BS127" s="135"/>
      <c r="BT127" s="135"/>
      <c r="BU127" s="135"/>
      <c r="BV127" s="135"/>
      <c r="BW127" s="135"/>
      <c r="BX127" s="135"/>
      <c r="BY127" s="135"/>
      <c r="BZ127" s="135"/>
      <c r="CA127" s="135"/>
      <c r="CB127" s="135"/>
      <c r="CC127" s="135"/>
      <c r="CD127" s="136"/>
    </row>
    <row r="128" spans="2:82" x14ac:dyDescent="0.2">
      <c r="B128" s="145" t="s">
        <v>233</v>
      </c>
      <c r="C128" s="278"/>
      <c r="D128" s="278"/>
      <c r="E128" s="131"/>
      <c r="O128" s="131"/>
      <c r="P128" s="131"/>
      <c r="Q128" s="131"/>
      <c r="T128" s="270"/>
      <c r="U128" s="270"/>
      <c r="V128" s="131"/>
      <c r="W128" s="131"/>
      <c r="X128" s="131"/>
      <c r="AA128" s="131"/>
      <c r="AB128" s="273"/>
      <c r="AC128" s="273"/>
      <c r="AD128" s="131"/>
      <c r="AE128" s="131"/>
      <c r="AF128" s="131"/>
      <c r="AJ128" s="277"/>
      <c r="AK128" s="277"/>
      <c r="AL128" s="277"/>
      <c r="AN128" s="131"/>
      <c r="AO128" s="131"/>
      <c r="AP128" s="131"/>
      <c r="AV128" s="131"/>
      <c r="AW128" s="131"/>
      <c r="AX128" s="131"/>
      <c r="AY128" s="433"/>
      <c r="AZ128" s="131"/>
      <c r="BA128" s="131"/>
      <c r="BB128" s="131"/>
      <c r="BC128" s="131"/>
      <c r="BD128" s="131"/>
      <c r="BE128" s="131"/>
      <c r="BF128" s="131"/>
      <c r="BG128" s="131"/>
      <c r="CD128" s="133"/>
    </row>
    <row r="129" spans="2:82" ht="3.95" hidden="1" customHeight="1" x14ac:dyDescent="0.2">
      <c r="B129" s="280"/>
      <c r="C129" s="135"/>
      <c r="D129" s="135"/>
      <c r="E129" s="135"/>
      <c r="F129" s="135"/>
      <c r="G129" s="135"/>
      <c r="H129" s="135"/>
      <c r="I129" s="135"/>
      <c r="J129" s="135"/>
      <c r="K129" s="135"/>
      <c r="L129" s="135"/>
      <c r="M129" s="135"/>
      <c r="N129" s="135"/>
      <c r="O129" s="135"/>
      <c r="P129" s="135"/>
      <c r="Q129" s="135"/>
      <c r="R129" s="135"/>
      <c r="S129" s="135"/>
      <c r="T129" s="135"/>
      <c r="U129" s="135"/>
      <c r="V129" s="135"/>
      <c r="W129" s="135"/>
      <c r="X129" s="135"/>
      <c r="Y129" s="135"/>
      <c r="Z129" s="135"/>
      <c r="AA129" s="135"/>
      <c r="AB129" s="135"/>
      <c r="AC129" s="135"/>
      <c r="AD129" s="135"/>
      <c r="AE129" s="135"/>
      <c r="AF129" s="135"/>
      <c r="AG129" s="135"/>
      <c r="AH129" s="135"/>
      <c r="AI129" s="135"/>
      <c r="AJ129" s="135"/>
      <c r="AK129" s="135"/>
      <c r="AL129" s="135"/>
      <c r="AM129" s="135"/>
      <c r="AN129" s="135"/>
      <c r="AO129" s="135"/>
      <c r="AP129" s="135"/>
      <c r="AQ129" s="135"/>
      <c r="AR129" s="135"/>
      <c r="AS129" s="135"/>
      <c r="AT129" s="135"/>
      <c r="AU129" s="135"/>
      <c r="AV129" s="135"/>
      <c r="AW129" s="135"/>
      <c r="AX129" s="135"/>
      <c r="AY129" s="135"/>
      <c r="AZ129" s="135"/>
      <c r="BA129" s="135"/>
      <c r="BB129" s="135"/>
      <c r="BC129" s="135"/>
      <c r="BD129" s="135"/>
      <c r="BE129" s="135"/>
      <c r="BF129" s="135"/>
      <c r="BG129" s="135"/>
      <c r="BH129" s="135"/>
      <c r="BI129" s="135"/>
      <c r="BJ129" s="135"/>
      <c r="BK129" s="135"/>
      <c r="BL129" s="135"/>
      <c r="BM129" s="135"/>
      <c r="BN129" s="135"/>
      <c r="BO129" s="135"/>
      <c r="BP129" s="135"/>
      <c r="BQ129" s="135"/>
      <c r="BR129" s="135"/>
      <c r="BS129" s="135"/>
      <c r="BT129" s="135"/>
      <c r="BU129" s="135"/>
      <c r="BV129" s="135"/>
      <c r="BW129" s="135"/>
      <c r="BX129" s="135"/>
      <c r="BY129" s="135"/>
      <c r="BZ129" s="135"/>
      <c r="CA129" s="135"/>
      <c r="CB129" s="135"/>
      <c r="CC129" s="135"/>
      <c r="CD129" s="136"/>
    </row>
    <row r="130" spans="2:82" hidden="1" x14ac:dyDescent="0.2">
      <c r="B130" s="145"/>
      <c r="Q130" s="131"/>
      <c r="R130" s="131"/>
      <c r="S130" s="131"/>
      <c r="T130" s="131"/>
      <c r="U130" s="131"/>
      <c r="V130" s="131"/>
      <c r="W130" s="131"/>
      <c r="X130" s="131"/>
      <c r="Y130" s="131"/>
      <c r="Z130" s="131"/>
      <c r="AA130" s="131"/>
      <c r="AB130" s="131"/>
      <c r="AC130" s="131"/>
      <c r="AD130" s="131"/>
      <c r="AE130" s="131"/>
      <c r="AF130" s="131"/>
      <c r="AG130" s="131"/>
      <c r="AH130" s="131"/>
      <c r="AI130" s="131"/>
      <c r="AJ130" s="131"/>
      <c r="AK130" s="131"/>
      <c r="AL130" s="131"/>
      <c r="AM130" s="131"/>
      <c r="AN130" s="131"/>
      <c r="AO130" s="131"/>
      <c r="AP130" s="131"/>
      <c r="AQ130" s="131"/>
      <c r="AT130" s="131"/>
      <c r="AU130" s="131"/>
      <c r="AV130" s="131"/>
      <c r="AW130" s="131"/>
      <c r="AX130" s="131"/>
      <c r="AY130" s="131"/>
      <c r="AZ130" s="131"/>
      <c r="BA130" s="131"/>
      <c r="CD130" s="133"/>
    </row>
    <row r="131" spans="2:82" ht="3.95" customHeight="1" thickBot="1" x14ac:dyDescent="0.25">
      <c r="B131" s="384"/>
      <c r="C131" s="139"/>
      <c r="D131" s="139"/>
      <c r="E131" s="139"/>
      <c r="F131" s="139"/>
      <c r="G131" s="139"/>
      <c r="H131" s="139"/>
      <c r="I131" s="139"/>
      <c r="J131" s="139"/>
      <c r="K131" s="139"/>
      <c r="L131" s="139"/>
      <c r="M131" s="139"/>
      <c r="N131" s="139"/>
      <c r="O131" s="139"/>
      <c r="P131" s="139"/>
      <c r="Q131" s="139"/>
      <c r="R131" s="139"/>
      <c r="S131" s="139"/>
      <c r="T131" s="139"/>
      <c r="U131" s="139"/>
      <c r="V131" s="139"/>
      <c r="W131" s="139"/>
      <c r="X131" s="139"/>
      <c r="Y131" s="139"/>
      <c r="Z131" s="139"/>
      <c r="AA131" s="139"/>
      <c r="AB131" s="139"/>
      <c r="AC131" s="139"/>
      <c r="AD131" s="139"/>
      <c r="AE131" s="139"/>
      <c r="AF131" s="139"/>
      <c r="AG131" s="139"/>
      <c r="AH131" s="139"/>
      <c r="AI131" s="139"/>
      <c r="AJ131" s="139"/>
      <c r="AK131" s="139"/>
      <c r="AL131" s="139"/>
      <c r="AM131" s="139"/>
      <c r="AN131" s="139"/>
      <c r="AO131" s="139"/>
      <c r="AP131" s="139"/>
      <c r="AQ131" s="139"/>
      <c r="AR131" s="139"/>
      <c r="AS131" s="139"/>
      <c r="AT131" s="139"/>
      <c r="AU131" s="139"/>
      <c r="AV131" s="139"/>
      <c r="AW131" s="139"/>
      <c r="AX131" s="139"/>
      <c r="AY131" s="139"/>
      <c r="AZ131" s="139"/>
      <c r="BA131" s="139"/>
      <c r="BB131" s="139"/>
      <c r="BC131" s="139"/>
      <c r="BD131" s="139"/>
      <c r="BE131" s="139"/>
      <c r="BF131" s="139"/>
      <c r="BG131" s="139"/>
      <c r="BH131" s="139"/>
      <c r="BI131" s="139"/>
      <c r="BJ131" s="139"/>
      <c r="BK131" s="139"/>
      <c r="BL131" s="139"/>
      <c r="BM131" s="139"/>
      <c r="BN131" s="139"/>
      <c r="BO131" s="139"/>
      <c r="BP131" s="139"/>
      <c r="BQ131" s="139"/>
      <c r="BR131" s="139"/>
      <c r="BS131" s="139"/>
      <c r="BT131" s="139"/>
      <c r="BU131" s="139"/>
      <c r="BV131" s="139"/>
      <c r="BW131" s="139"/>
      <c r="BX131" s="139"/>
      <c r="BY131" s="139"/>
      <c r="BZ131" s="139"/>
      <c r="CA131" s="139"/>
      <c r="CB131" s="139"/>
      <c r="CC131" s="139"/>
      <c r="CD131" s="140"/>
    </row>
    <row r="132" spans="2:82" ht="7.9" customHeight="1" x14ac:dyDescent="0.2"/>
    <row r="133" spans="2:82" x14ac:dyDescent="0.2">
      <c r="B133" s="1" t="s">
        <v>167</v>
      </c>
    </row>
    <row r="134" spans="2:82" ht="7.9" customHeight="1" thickBot="1" x14ac:dyDescent="0.25"/>
    <row r="135" spans="2:82" ht="15.75" thickBot="1" x14ac:dyDescent="0.25">
      <c r="B135" s="122" t="s">
        <v>284</v>
      </c>
      <c r="C135" s="123"/>
      <c r="D135" s="123"/>
      <c r="E135" s="123"/>
      <c r="F135" s="123"/>
      <c r="G135" s="123"/>
      <c r="H135" s="123"/>
      <c r="I135" s="123"/>
      <c r="J135" s="123"/>
      <c r="K135" s="123"/>
      <c r="L135" s="123"/>
      <c r="M135" s="123"/>
      <c r="N135" s="123"/>
      <c r="O135" s="123"/>
      <c r="P135" s="123"/>
      <c r="Q135" s="123"/>
      <c r="R135" s="123"/>
      <c r="S135" s="123"/>
      <c r="T135" s="123"/>
      <c r="U135" s="123"/>
      <c r="V135" s="123"/>
      <c r="W135" s="123"/>
      <c r="X135" s="123"/>
      <c r="Y135" s="123"/>
      <c r="Z135" s="123"/>
      <c r="AA135" s="123"/>
      <c r="AB135" s="123"/>
      <c r="AC135" s="123"/>
      <c r="AD135" s="123"/>
      <c r="AE135" s="123"/>
      <c r="AF135" s="123"/>
      <c r="AG135" s="123"/>
      <c r="AH135" s="123"/>
      <c r="AI135" s="123"/>
      <c r="AJ135" s="123"/>
      <c r="AK135" s="123"/>
      <c r="AL135" s="123"/>
      <c r="AM135" s="123"/>
      <c r="AN135" s="123"/>
      <c r="AO135" s="123"/>
      <c r="AP135" s="123"/>
      <c r="AQ135" s="123"/>
      <c r="AR135" s="123"/>
      <c r="AS135" s="123"/>
      <c r="AT135" s="123"/>
      <c r="AU135" s="123"/>
      <c r="AV135" s="123"/>
      <c r="AW135" s="123"/>
      <c r="AX135" s="123"/>
      <c r="AY135" s="123"/>
      <c r="AZ135" s="123"/>
      <c r="BA135" s="123"/>
      <c r="BB135" s="123"/>
      <c r="BC135" s="123"/>
      <c r="BD135" s="123"/>
      <c r="BE135" s="123"/>
      <c r="BF135" s="123"/>
      <c r="BG135" s="123"/>
      <c r="BH135" s="123"/>
      <c r="BI135" s="123"/>
      <c r="BJ135" s="123"/>
      <c r="BK135" s="123"/>
      <c r="BL135" s="123"/>
      <c r="BM135" s="123"/>
      <c r="BN135" s="123"/>
      <c r="BO135" s="123"/>
      <c r="BP135" s="123"/>
      <c r="BQ135" s="123"/>
      <c r="BR135" s="123"/>
      <c r="BS135" s="123"/>
      <c r="BT135" s="123"/>
      <c r="BU135" s="123"/>
      <c r="BV135" s="123"/>
      <c r="BW135" s="123"/>
      <c r="BX135" s="123"/>
      <c r="BY135" s="123"/>
      <c r="BZ135" s="123"/>
      <c r="CA135" s="123"/>
      <c r="CB135" s="123"/>
      <c r="CC135" s="123"/>
      <c r="CD135" s="125"/>
    </row>
    <row r="136" spans="2:82" ht="13.5" thickBot="1" x14ac:dyDescent="0.25">
      <c r="B136" s="126"/>
      <c r="C136" s="129">
        <f>C$11</f>
        <v>1</v>
      </c>
      <c r="D136" s="128"/>
      <c r="E136" s="129">
        <f>E$11</f>
        <v>2</v>
      </c>
      <c r="F136" s="128"/>
      <c r="G136" s="129">
        <f>G$11</f>
        <v>3</v>
      </c>
      <c r="H136" s="128"/>
      <c r="I136" s="129">
        <f>I$11</f>
        <v>4</v>
      </c>
      <c r="J136" s="128"/>
      <c r="K136" s="129">
        <f>K$11</f>
        <v>5</v>
      </c>
      <c r="L136" s="128"/>
      <c r="M136" s="129">
        <f>M$11</f>
        <v>6</v>
      </c>
      <c r="N136" s="128"/>
      <c r="O136" s="129">
        <f>O$11</f>
        <v>7</v>
      </c>
      <c r="P136" s="128"/>
      <c r="Q136" s="129">
        <f>Q$11</f>
        <v>8</v>
      </c>
      <c r="R136" s="128"/>
      <c r="S136" s="129">
        <f>S$11</f>
        <v>9</v>
      </c>
      <c r="T136" s="128"/>
      <c r="U136" s="129">
        <f>U$11</f>
        <v>10</v>
      </c>
      <c r="V136" s="128"/>
      <c r="W136" s="129">
        <f>W$11</f>
        <v>11</v>
      </c>
      <c r="X136" s="128"/>
      <c r="Y136" s="129">
        <f>Y$11</f>
        <v>12</v>
      </c>
      <c r="Z136" s="128"/>
      <c r="AA136" s="129">
        <f>AA$11</f>
        <v>13</v>
      </c>
      <c r="AB136" s="128"/>
      <c r="AC136" s="129">
        <f>AC$11</f>
        <v>14</v>
      </c>
      <c r="AD136" s="128"/>
      <c r="AE136" s="129">
        <f>AE$11</f>
        <v>15</v>
      </c>
      <c r="AF136" s="128"/>
      <c r="AG136" s="129">
        <f>AG$11</f>
        <v>16</v>
      </c>
      <c r="AH136" s="128"/>
      <c r="AI136" s="129">
        <f>AI$11</f>
        <v>17</v>
      </c>
      <c r="AJ136" s="128"/>
      <c r="AK136" s="129">
        <f>AK$11</f>
        <v>18</v>
      </c>
      <c r="AL136" s="128"/>
      <c r="AM136" s="129">
        <f>AM$11</f>
        <v>19</v>
      </c>
      <c r="AN136" s="128"/>
      <c r="AO136" s="129">
        <f>AO$11</f>
        <v>20</v>
      </c>
      <c r="AP136" s="128"/>
      <c r="AQ136" s="129">
        <f>AQ$11</f>
        <v>21</v>
      </c>
      <c r="AR136" s="128"/>
      <c r="AS136" s="129">
        <f>AS$11</f>
        <v>22</v>
      </c>
      <c r="AT136" s="128"/>
      <c r="AU136" s="129">
        <f>AU$11</f>
        <v>23</v>
      </c>
      <c r="AV136" s="128"/>
      <c r="AW136" s="129">
        <f t="shared" ref="AW136:BG136" si="14">AW$11</f>
        <v>24</v>
      </c>
      <c r="AX136" s="128"/>
      <c r="AY136" s="129">
        <f t="shared" si="14"/>
        <v>25</v>
      </c>
      <c r="AZ136" s="418"/>
      <c r="BA136" s="129">
        <f t="shared" si="14"/>
        <v>26</v>
      </c>
      <c r="BB136" s="128"/>
      <c r="BC136" s="129">
        <f t="shared" si="14"/>
        <v>27</v>
      </c>
      <c r="BD136" s="128"/>
      <c r="BE136" s="129">
        <f t="shared" si="14"/>
        <v>28</v>
      </c>
      <c r="BF136" s="128"/>
      <c r="BG136" s="129">
        <f t="shared" si="14"/>
        <v>29</v>
      </c>
      <c r="BH136" s="128"/>
      <c r="BI136" s="129">
        <f>BI$11</f>
        <v>30</v>
      </c>
      <c r="BJ136" s="128"/>
      <c r="BK136" s="129">
        <f t="shared" ref="BK136:CA136" si="15">BK$11</f>
        <v>31</v>
      </c>
      <c r="BL136" s="128"/>
      <c r="BM136" s="129">
        <f t="shared" si="15"/>
        <v>32</v>
      </c>
      <c r="BN136" s="128"/>
      <c r="BO136" s="129">
        <f t="shared" si="15"/>
        <v>33</v>
      </c>
      <c r="BP136" s="128"/>
      <c r="BQ136" s="129">
        <f t="shared" si="15"/>
        <v>34</v>
      </c>
      <c r="BR136" s="128"/>
      <c r="BS136" s="129">
        <f t="shared" si="15"/>
        <v>35</v>
      </c>
      <c r="BT136" s="128"/>
      <c r="BU136" s="129">
        <f t="shared" si="15"/>
        <v>36</v>
      </c>
      <c r="BV136" s="128"/>
      <c r="BW136" s="129">
        <f t="shared" si="15"/>
        <v>37</v>
      </c>
      <c r="BX136" s="128"/>
      <c r="BY136" s="129">
        <f t="shared" si="15"/>
        <v>38</v>
      </c>
      <c r="BZ136" s="128"/>
      <c r="CA136" s="129">
        <f t="shared" si="15"/>
        <v>39</v>
      </c>
      <c r="CB136" s="128"/>
      <c r="CC136" s="129">
        <f>CC$11</f>
        <v>40</v>
      </c>
      <c r="CD136" s="130"/>
    </row>
    <row r="137" spans="2:82" x14ac:dyDescent="0.2">
      <c r="B137" s="282" t="s">
        <v>218</v>
      </c>
      <c r="C137" s="141"/>
      <c r="D137" s="131"/>
      <c r="E137" s="267"/>
      <c r="F137" s="267"/>
      <c r="G137" s="267"/>
      <c r="H137" s="267"/>
      <c r="I137" s="429"/>
      <c r="J137" s="132"/>
      <c r="K137" s="132"/>
      <c r="L137" s="132"/>
      <c r="M137" s="430"/>
      <c r="N137" s="430"/>
      <c r="O137" s="430"/>
      <c r="P137" s="430"/>
      <c r="Q137" s="132"/>
      <c r="R137" s="385"/>
      <c r="S137" s="431"/>
      <c r="T137" s="431"/>
      <c r="U137" s="431"/>
      <c r="V137" s="431"/>
      <c r="W137" s="132"/>
      <c r="X137" s="132"/>
      <c r="Y137" s="132"/>
      <c r="Z137" s="132"/>
      <c r="AA137" s="132"/>
      <c r="AB137" s="132"/>
      <c r="AC137" s="132"/>
      <c r="AD137" s="132"/>
      <c r="AE137" s="132"/>
      <c r="AF137" s="132"/>
      <c r="AG137" s="132"/>
      <c r="AH137" s="132"/>
      <c r="AI137" s="132"/>
      <c r="AJ137" s="132"/>
      <c r="AK137" s="132"/>
      <c r="AL137" s="132"/>
      <c r="AM137" s="132"/>
      <c r="AN137" s="440"/>
      <c r="AO137" s="132"/>
      <c r="AP137" s="132"/>
      <c r="AQ137" s="132"/>
      <c r="AR137" s="132"/>
      <c r="AS137" s="132"/>
      <c r="AT137" s="132"/>
      <c r="AU137" s="132"/>
      <c r="AV137" s="132"/>
      <c r="AW137" s="132"/>
      <c r="AX137" s="132"/>
      <c r="AY137" s="132"/>
      <c r="AZ137" s="444"/>
      <c r="BA137" s="132"/>
      <c r="BB137" s="132"/>
      <c r="BC137" s="132"/>
      <c r="BD137" s="132"/>
      <c r="BE137" s="132"/>
      <c r="BF137" s="132"/>
      <c r="BG137" s="132"/>
      <c r="CD137" s="143"/>
    </row>
    <row r="138" spans="2:82" ht="3.95" customHeight="1" x14ac:dyDescent="0.2">
      <c r="B138" s="280"/>
      <c r="C138" s="135"/>
      <c r="D138" s="135"/>
      <c r="E138" s="135"/>
      <c r="F138" s="135"/>
      <c r="G138" s="135"/>
      <c r="H138" s="135"/>
      <c r="I138" s="135"/>
      <c r="J138" s="135"/>
      <c r="K138" s="135"/>
      <c r="L138" s="135"/>
      <c r="M138" s="135"/>
      <c r="N138" s="135"/>
      <c r="O138" s="135"/>
      <c r="P138" s="135"/>
      <c r="Q138" s="135"/>
      <c r="R138" s="135"/>
      <c r="S138" s="135"/>
      <c r="T138" s="135"/>
      <c r="U138" s="135"/>
      <c r="V138" s="135"/>
      <c r="W138" s="135"/>
      <c r="X138" s="135"/>
      <c r="Y138" s="135"/>
      <c r="Z138" s="135"/>
      <c r="AA138" s="135"/>
      <c r="AB138" s="135"/>
      <c r="AC138" s="135"/>
      <c r="AD138" s="135"/>
      <c r="AE138" s="135"/>
      <c r="AF138" s="135"/>
      <c r="AG138" s="135"/>
      <c r="AH138" s="135"/>
      <c r="AI138" s="135"/>
      <c r="AJ138" s="135"/>
      <c r="AK138" s="135"/>
      <c r="AL138" s="135"/>
      <c r="AM138" s="135"/>
      <c r="AN138" s="135"/>
      <c r="AO138" s="135"/>
      <c r="AP138" s="135"/>
      <c r="AQ138" s="135"/>
      <c r="AR138" s="135"/>
      <c r="AS138" s="135"/>
      <c r="AT138" s="135"/>
      <c r="AU138" s="135"/>
      <c r="AV138" s="135"/>
      <c r="AW138" s="135"/>
      <c r="AX138" s="135"/>
      <c r="AY138" s="135"/>
      <c r="AZ138" s="434"/>
      <c r="BA138" s="135"/>
      <c r="BB138" s="135"/>
      <c r="BC138" s="135"/>
      <c r="BD138" s="135"/>
      <c r="BE138" s="135"/>
      <c r="BF138" s="135"/>
      <c r="BG138" s="135"/>
      <c r="BH138" s="135"/>
      <c r="BI138" s="135"/>
      <c r="BJ138" s="135"/>
      <c r="BK138" s="135"/>
      <c r="BL138" s="135"/>
      <c r="BM138" s="135"/>
      <c r="BN138" s="135"/>
      <c r="BO138" s="135"/>
      <c r="BP138" s="135"/>
      <c r="BQ138" s="135"/>
      <c r="BR138" s="135"/>
      <c r="BS138" s="135"/>
      <c r="BT138" s="135"/>
      <c r="BU138" s="135"/>
      <c r="BV138" s="135"/>
      <c r="BW138" s="135"/>
      <c r="BX138" s="135"/>
      <c r="BY138" s="135"/>
      <c r="BZ138" s="135"/>
      <c r="CA138" s="135"/>
      <c r="CB138" s="135"/>
      <c r="CC138" s="135"/>
      <c r="CD138" s="136"/>
    </row>
    <row r="139" spans="2:82" x14ac:dyDescent="0.2">
      <c r="B139" s="145" t="s">
        <v>219</v>
      </c>
      <c r="C139" s="267"/>
      <c r="D139" s="267"/>
      <c r="E139" s="270"/>
      <c r="F139" s="270"/>
      <c r="J139" s="273"/>
      <c r="K139" s="273"/>
      <c r="L139" s="273"/>
      <c r="M139" s="268"/>
      <c r="N139" s="268"/>
      <c r="P139" s="131"/>
      <c r="Q139" s="266"/>
      <c r="R139" s="266"/>
      <c r="S139" s="131"/>
      <c r="T139" s="131"/>
      <c r="U139" s="275"/>
      <c r="V139" s="275"/>
      <c r="Z139" s="269"/>
      <c r="AA139" s="269"/>
      <c r="AM139" s="131"/>
      <c r="AN139" s="131"/>
      <c r="AY139" s="131"/>
      <c r="AZ139" s="433"/>
      <c r="BA139" s="131"/>
      <c r="CD139" s="133"/>
    </row>
    <row r="140" spans="2:82" ht="3.95" customHeight="1" x14ac:dyDescent="0.2">
      <c r="B140" s="280"/>
      <c r="C140" s="135"/>
      <c r="D140" s="135"/>
      <c r="E140" s="135"/>
      <c r="F140" s="135"/>
      <c r="G140" s="135"/>
      <c r="H140" s="135"/>
      <c r="I140" s="135"/>
      <c r="J140" s="135"/>
      <c r="K140" s="135"/>
      <c r="L140" s="135"/>
      <c r="M140" s="135"/>
      <c r="N140" s="135"/>
      <c r="O140" s="135"/>
      <c r="P140" s="135"/>
      <c r="Q140" s="135"/>
      <c r="R140" s="135"/>
      <c r="S140" s="135"/>
      <c r="T140" s="135"/>
      <c r="U140" s="135"/>
      <c r="V140" s="135"/>
      <c r="W140" s="135"/>
      <c r="X140" s="135"/>
      <c r="Y140" s="135"/>
      <c r="Z140" s="135"/>
      <c r="AA140" s="135"/>
      <c r="AB140" s="135"/>
      <c r="AC140" s="135"/>
      <c r="AD140" s="135"/>
      <c r="AE140" s="135"/>
      <c r="AF140" s="135"/>
      <c r="AG140" s="135"/>
      <c r="AH140" s="135"/>
      <c r="AI140" s="135"/>
      <c r="AJ140" s="135"/>
      <c r="AK140" s="135"/>
      <c r="AL140" s="135"/>
      <c r="AM140" s="135"/>
      <c r="AN140" s="135"/>
      <c r="AO140" s="135"/>
      <c r="AP140" s="135"/>
      <c r="AQ140" s="135"/>
      <c r="AR140" s="135"/>
      <c r="AS140" s="135"/>
      <c r="AT140" s="135"/>
      <c r="AU140" s="135"/>
      <c r="AV140" s="135"/>
      <c r="AW140" s="135"/>
      <c r="AX140" s="135"/>
      <c r="AY140" s="135"/>
      <c r="AZ140" s="434"/>
      <c r="BA140" s="135"/>
      <c r="BB140" s="135"/>
      <c r="BC140" s="135"/>
      <c r="BD140" s="135"/>
      <c r="BE140" s="135"/>
      <c r="BF140" s="135"/>
      <c r="BG140" s="135"/>
      <c r="BH140" s="135"/>
      <c r="BI140" s="135"/>
      <c r="BJ140" s="135"/>
      <c r="BK140" s="135"/>
      <c r="BL140" s="135"/>
      <c r="BM140" s="135"/>
      <c r="BN140" s="135"/>
      <c r="BO140" s="135"/>
      <c r="BP140" s="135"/>
      <c r="BQ140" s="135"/>
      <c r="BR140" s="135"/>
      <c r="BS140" s="135"/>
      <c r="BT140" s="135"/>
      <c r="BU140" s="135"/>
      <c r="BV140" s="135"/>
      <c r="BW140" s="135"/>
      <c r="BX140" s="135"/>
      <c r="BY140" s="135"/>
      <c r="BZ140" s="135"/>
      <c r="CA140" s="135"/>
      <c r="CB140" s="135"/>
      <c r="CC140" s="135"/>
      <c r="CD140" s="136"/>
    </row>
    <row r="141" spans="2:82" ht="15" customHeight="1" x14ac:dyDescent="0.2">
      <c r="B141" s="282" t="s">
        <v>223</v>
      </c>
      <c r="C141" s="141"/>
      <c r="D141" s="131"/>
      <c r="G141" s="270"/>
      <c r="H141" s="270"/>
      <c r="I141" s="270"/>
      <c r="J141" s="270"/>
      <c r="O141" s="268"/>
      <c r="P141" s="268"/>
      <c r="Q141" s="268"/>
      <c r="R141" s="268"/>
      <c r="S141" s="268"/>
      <c r="T141" s="268"/>
      <c r="W141" s="275"/>
      <c r="X141" s="275"/>
      <c r="Y141" s="275"/>
      <c r="AB141" s="269"/>
      <c r="AC141" s="269"/>
      <c r="AD141" s="269"/>
      <c r="AJ141" s="131"/>
      <c r="AK141" s="131"/>
      <c r="AO141" s="131"/>
      <c r="AP141" s="131"/>
      <c r="AT141" s="131"/>
      <c r="AY141" s="131"/>
      <c r="AZ141" s="433"/>
      <c r="BA141" s="131"/>
      <c r="BB141" s="131"/>
      <c r="BC141" s="131"/>
      <c r="BD141" s="131"/>
      <c r="BE141" s="131"/>
      <c r="BF141" s="131"/>
      <c r="BG141" s="131"/>
      <c r="CD141" s="133"/>
    </row>
    <row r="142" spans="2:82" ht="10.9" customHeight="1" x14ac:dyDescent="0.2">
      <c r="B142" s="291" t="s">
        <v>224</v>
      </c>
      <c r="C142" s="286"/>
      <c r="D142" s="286"/>
      <c r="E142" s="286"/>
      <c r="F142" s="286"/>
      <c r="G142" s="286"/>
      <c r="H142" s="286"/>
      <c r="I142" s="286"/>
      <c r="J142" s="286"/>
      <c r="K142" s="286"/>
      <c r="L142" s="286"/>
      <c r="M142" s="286"/>
      <c r="N142" s="286"/>
      <c r="O142" s="286"/>
      <c r="P142" s="286"/>
      <c r="Q142" s="286"/>
      <c r="R142" s="286"/>
      <c r="S142" s="286"/>
      <c r="T142" s="286"/>
      <c r="U142" s="286"/>
      <c r="V142" s="286"/>
      <c r="W142" s="286"/>
      <c r="X142" s="286"/>
      <c r="Y142" s="286"/>
      <c r="Z142" s="286"/>
      <c r="AA142" s="286"/>
      <c r="AB142" s="286"/>
      <c r="AC142" s="286"/>
      <c r="AD142" s="286"/>
      <c r="AE142" s="286"/>
      <c r="AF142" s="286"/>
      <c r="AG142" s="286"/>
      <c r="AH142" s="286"/>
      <c r="AI142" s="286"/>
      <c r="AJ142" s="286"/>
      <c r="AK142" s="286"/>
      <c r="AL142" s="286"/>
      <c r="AM142" s="286"/>
      <c r="AN142" s="286"/>
      <c r="AO142" s="286"/>
      <c r="AP142" s="286"/>
      <c r="AQ142" s="286"/>
      <c r="AR142" s="286"/>
      <c r="AS142" s="286"/>
      <c r="AT142" s="286"/>
      <c r="AU142" s="286"/>
      <c r="AV142" s="286"/>
      <c r="AW142" s="286"/>
      <c r="AX142" s="286"/>
      <c r="AY142" s="286"/>
      <c r="AZ142" s="451"/>
      <c r="BA142" s="286"/>
      <c r="BB142" s="286"/>
      <c r="BC142" s="286"/>
      <c r="BD142" s="286"/>
      <c r="BE142" s="286"/>
      <c r="BF142" s="286"/>
      <c r="BG142" s="286"/>
      <c r="BH142" s="286"/>
      <c r="BI142" s="286"/>
      <c r="BJ142" s="286"/>
      <c r="BK142" s="286"/>
      <c r="BL142" s="286"/>
      <c r="BM142" s="286"/>
      <c r="BN142" s="286"/>
      <c r="BO142" s="286"/>
      <c r="BP142" s="286"/>
      <c r="BQ142" s="286"/>
      <c r="BR142" s="286"/>
      <c r="BS142" s="286"/>
      <c r="BT142" s="286"/>
      <c r="BU142" s="286"/>
      <c r="BV142" s="286"/>
      <c r="BW142" s="286"/>
      <c r="BX142" s="286"/>
      <c r="BY142" s="286"/>
      <c r="BZ142" s="286"/>
      <c r="CA142" s="286"/>
      <c r="CB142" s="286"/>
      <c r="CC142" s="286"/>
      <c r="CD142" s="288"/>
    </row>
    <row r="143" spans="2:82" ht="3.6" customHeight="1" x14ac:dyDescent="0.2">
      <c r="B143" s="291"/>
      <c r="C143" s="287"/>
      <c r="D143" s="287"/>
      <c r="E143" s="287"/>
      <c r="F143" s="286"/>
      <c r="G143" s="286"/>
      <c r="H143" s="286"/>
      <c r="I143" s="287"/>
      <c r="J143" s="287"/>
      <c r="K143" s="286"/>
      <c r="L143" s="286"/>
      <c r="M143" s="286"/>
      <c r="N143" s="286"/>
      <c r="O143" s="286"/>
      <c r="P143" s="287"/>
      <c r="Q143" s="287"/>
      <c r="R143" s="287"/>
      <c r="S143" s="287"/>
      <c r="T143" s="287"/>
      <c r="U143" s="287"/>
      <c r="V143" s="287"/>
      <c r="W143" s="287"/>
      <c r="X143" s="287"/>
      <c r="Y143" s="287"/>
      <c r="Z143" s="287"/>
      <c r="AA143" s="287"/>
      <c r="AB143" s="286"/>
      <c r="AC143" s="286"/>
      <c r="AD143" s="286"/>
      <c r="AE143" s="286"/>
      <c r="AF143" s="286"/>
      <c r="AG143" s="286"/>
      <c r="AH143" s="286"/>
      <c r="AI143" s="286"/>
      <c r="AJ143" s="286"/>
      <c r="AK143" s="286"/>
      <c r="AL143" s="287"/>
      <c r="AM143" s="287"/>
      <c r="AN143" s="287"/>
      <c r="AO143" s="287"/>
      <c r="AP143" s="287"/>
      <c r="AQ143" s="287"/>
      <c r="AR143" s="287"/>
      <c r="AS143" s="287"/>
      <c r="AT143" s="287"/>
      <c r="AU143" s="287"/>
      <c r="AV143" s="287"/>
      <c r="AW143" s="287"/>
      <c r="AX143" s="287"/>
      <c r="AY143" s="287"/>
      <c r="AZ143" s="436"/>
      <c r="BA143" s="287"/>
      <c r="BB143" s="287"/>
      <c r="BC143" s="287"/>
      <c r="BD143" s="287"/>
      <c r="BE143" s="287"/>
      <c r="BF143" s="287"/>
      <c r="BG143" s="287"/>
      <c r="BH143" s="286"/>
      <c r="BI143" s="286"/>
      <c r="BJ143" s="286"/>
      <c r="BK143" s="286"/>
      <c r="BL143" s="286"/>
      <c r="BM143" s="286"/>
      <c r="BN143" s="286"/>
      <c r="BO143" s="286"/>
      <c r="BP143" s="286"/>
      <c r="BQ143" s="286"/>
      <c r="BR143" s="286"/>
      <c r="BS143" s="286"/>
      <c r="BT143" s="286"/>
      <c r="BU143" s="286"/>
      <c r="BV143" s="286"/>
      <c r="BW143" s="286"/>
      <c r="BX143" s="286"/>
      <c r="BY143" s="286"/>
      <c r="BZ143" s="286"/>
      <c r="CA143" s="286"/>
      <c r="CB143" s="286"/>
      <c r="CC143" s="286"/>
      <c r="CD143" s="288"/>
    </row>
    <row r="144" spans="2:82" ht="0.6" customHeight="1" x14ac:dyDescent="0.2">
      <c r="B144" s="145"/>
      <c r="AZ144" s="435"/>
      <c r="CD144" s="133"/>
    </row>
    <row r="145" spans="2:82" x14ac:dyDescent="0.2">
      <c r="B145" s="283" t="s">
        <v>220</v>
      </c>
      <c r="E145" s="276"/>
      <c r="F145" s="276"/>
      <c r="G145" s="276"/>
      <c r="H145" s="276"/>
      <c r="I145" s="276"/>
      <c r="J145" s="276"/>
      <c r="M145" s="270"/>
      <c r="N145" s="270"/>
      <c r="O145" s="270"/>
      <c r="P145" s="270"/>
      <c r="Q145" s="270"/>
      <c r="R145" s="270"/>
      <c r="S145" s="270"/>
      <c r="T145" s="131"/>
      <c r="U145" s="131"/>
      <c r="V145" s="131"/>
      <c r="W145" s="265"/>
      <c r="X145" s="265"/>
      <c r="Y145" s="265"/>
      <c r="Z145" s="265"/>
      <c r="AA145" s="265"/>
      <c r="AB145" s="265"/>
      <c r="AC145" s="265"/>
      <c r="AD145" s="265"/>
      <c r="AE145" s="131"/>
      <c r="AF145" s="131"/>
      <c r="AG145" s="131"/>
      <c r="AH145" s="268"/>
      <c r="AI145" s="268"/>
      <c r="AJ145" s="268"/>
      <c r="AK145" s="268"/>
      <c r="AL145" s="268"/>
      <c r="AM145" s="131"/>
      <c r="AN145" s="131"/>
      <c r="AO145" s="131"/>
      <c r="AP145" s="131"/>
      <c r="AQ145" s="131"/>
      <c r="AT145" s="131"/>
      <c r="AU145" s="131"/>
      <c r="AV145" s="131"/>
      <c r="AW145" s="131"/>
      <c r="AX145" s="131"/>
      <c r="AY145" s="131"/>
      <c r="AZ145" s="433"/>
      <c r="BA145" s="131"/>
      <c r="CD145" s="133"/>
    </row>
    <row r="146" spans="2:82" ht="3.95" customHeight="1" x14ac:dyDescent="0.2">
      <c r="B146" s="280"/>
      <c r="C146" s="135"/>
      <c r="D146" s="135"/>
      <c r="E146" s="135"/>
      <c r="F146" s="135"/>
      <c r="G146" s="135"/>
      <c r="H146" s="135"/>
      <c r="I146" s="135"/>
      <c r="J146" s="135"/>
      <c r="K146" s="135"/>
      <c r="L146" s="135"/>
      <c r="M146" s="135"/>
      <c r="N146" s="135"/>
      <c r="O146" s="135"/>
      <c r="P146" s="135"/>
      <c r="Q146" s="135"/>
      <c r="R146" s="135"/>
      <c r="S146" s="135"/>
      <c r="T146" s="135"/>
      <c r="U146" s="135"/>
      <c r="V146" s="135"/>
      <c r="W146" s="135"/>
      <c r="X146" s="135"/>
      <c r="Y146" s="135"/>
      <c r="Z146" s="135"/>
      <c r="AA146" s="135"/>
      <c r="AB146" s="135"/>
      <c r="AC146" s="135"/>
      <c r="AD146" s="135"/>
      <c r="AE146" s="135"/>
      <c r="AF146" s="135"/>
      <c r="AG146" s="135"/>
      <c r="AH146" s="135"/>
      <c r="AI146" s="135"/>
      <c r="AJ146" s="135"/>
      <c r="AK146" s="135"/>
      <c r="AL146" s="135"/>
      <c r="AM146" s="135"/>
      <c r="AN146" s="135"/>
      <c r="AO146" s="135"/>
      <c r="AP146" s="135"/>
      <c r="AQ146" s="135"/>
      <c r="AR146" s="135"/>
      <c r="AS146" s="135"/>
      <c r="AT146" s="135"/>
      <c r="AU146" s="135"/>
      <c r="AV146" s="135"/>
      <c r="AW146" s="135"/>
      <c r="AX146" s="135"/>
      <c r="AY146" s="135"/>
      <c r="AZ146" s="434"/>
      <c r="BA146" s="135"/>
      <c r="BB146" s="135"/>
      <c r="BC146" s="135"/>
      <c r="BD146" s="135"/>
      <c r="BE146" s="135"/>
      <c r="BF146" s="135"/>
      <c r="BG146" s="135"/>
      <c r="BH146" s="135"/>
      <c r="BI146" s="135"/>
      <c r="BJ146" s="135"/>
      <c r="BK146" s="135"/>
      <c r="BL146" s="135"/>
      <c r="BM146" s="135"/>
      <c r="BN146" s="135"/>
      <c r="BO146" s="135"/>
      <c r="BP146" s="135"/>
      <c r="BQ146" s="135"/>
      <c r="BR146" s="135"/>
      <c r="BS146" s="135"/>
      <c r="BT146" s="135"/>
      <c r="BU146" s="135"/>
      <c r="BV146" s="135"/>
      <c r="BW146" s="135"/>
      <c r="BX146" s="135"/>
      <c r="BY146" s="135"/>
      <c r="BZ146" s="135"/>
      <c r="CA146" s="135"/>
      <c r="CB146" s="135"/>
      <c r="CC146" s="135"/>
      <c r="CD146" s="136"/>
    </row>
    <row r="147" spans="2:82" x14ac:dyDescent="0.2">
      <c r="B147" s="145" t="s">
        <v>227</v>
      </c>
      <c r="C147" s="276"/>
      <c r="D147" s="276"/>
      <c r="K147" s="270"/>
      <c r="L147" s="270"/>
      <c r="Q147" s="131"/>
      <c r="R147" s="131"/>
      <c r="S147" s="131"/>
      <c r="T147" s="265"/>
      <c r="U147" s="265"/>
      <c r="V147" s="265"/>
      <c r="W147" s="131"/>
      <c r="X147" s="131"/>
      <c r="Y147" s="131"/>
      <c r="Z147" s="131"/>
      <c r="AA147" s="131"/>
      <c r="AB147" s="131"/>
      <c r="AC147" s="131"/>
      <c r="AD147" s="131"/>
      <c r="AE147" s="268"/>
      <c r="AF147" s="268"/>
      <c r="AG147" s="268"/>
      <c r="AH147" s="131"/>
      <c r="AI147" s="131"/>
      <c r="AJ147" s="131"/>
      <c r="AK147" s="131"/>
      <c r="AL147" s="131"/>
      <c r="AM147" s="131"/>
      <c r="AN147" s="131"/>
      <c r="AO147" s="131"/>
      <c r="AP147" s="131"/>
      <c r="AQ147" s="131"/>
      <c r="AT147" s="131"/>
      <c r="AU147" s="131"/>
      <c r="AV147" s="131"/>
      <c r="AW147" s="131"/>
      <c r="AX147" s="131"/>
      <c r="AY147" s="131"/>
      <c r="AZ147" s="433"/>
      <c r="BA147" s="131"/>
      <c r="CD147" s="133"/>
    </row>
    <row r="148" spans="2:82" ht="3.95" customHeight="1" x14ac:dyDescent="0.2">
      <c r="B148" s="280"/>
      <c r="C148" s="135"/>
      <c r="D148" s="135"/>
      <c r="E148" s="135"/>
      <c r="F148" s="135"/>
      <c r="G148" s="135"/>
      <c r="H148" s="135"/>
      <c r="I148" s="135"/>
      <c r="J148" s="135"/>
      <c r="K148" s="135"/>
      <c r="L148" s="135"/>
      <c r="M148" s="135"/>
      <c r="N148" s="135"/>
      <c r="O148" s="135"/>
      <c r="P148" s="135"/>
      <c r="Q148" s="135"/>
      <c r="R148" s="135"/>
      <c r="S148" s="135"/>
      <c r="T148" s="135"/>
      <c r="U148" s="135"/>
      <c r="V148" s="135"/>
      <c r="W148" s="135"/>
      <c r="X148" s="135"/>
      <c r="Y148" s="135"/>
      <c r="Z148" s="135"/>
      <c r="AA148" s="135"/>
      <c r="AB148" s="135"/>
      <c r="AC148" s="135"/>
      <c r="AD148" s="135"/>
      <c r="AE148" s="135"/>
      <c r="AF148" s="135"/>
      <c r="AG148" s="135"/>
      <c r="AH148" s="135"/>
      <c r="AI148" s="135"/>
      <c r="AJ148" s="135"/>
      <c r="AK148" s="135"/>
      <c r="AL148" s="135"/>
      <c r="AM148" s="135"/>
      <c r="AN148" s="135"/>
      <c r="AO148" s="135"/>
      <c r="AP148" s="135"/>
      <c r="AQ148" s="135"/>
      <c r="AR148" s="135"/>
      <c r="AS148" s="135"/>
      <c r="AT148" s="135"/>
      <c r="AU148" s="135"/>
      <c r="AV148" s="135"/>
      <c r="AW148" s="135"/>
      <c r="AX148" s="135"/>
      <c r="AY148" s="135"/>
      <c r="AZ148" s="434"/>
      <c r="BA148" s="135"/>
      <c r="BB148" s="135"/>
      <c r="BC148" s="135"/>
      <c r="BD148" s="135"/>
      <c r="BE148" s="135"/>
      <c r="BF148" s="135"/>
      <c r="BG148" s="135"/>
      <c r="BH148" s="135"/>
      <c r="BI148" s="135"/>
      <c r="BJ148" s="135"/>
      <c r="BK148" s="135"/>
      <c r="BL148" s="135"/>
      <c r="BM148" s="135"/>
      <c r="BN148" s="135"/>
      <c r="BO148" s="135"/>
      <c r="BP148" s="135"/>
      <c r="BQ148" s="135"/>
      <c r="BR148" s="135"/>
      <c r="BS148" s="135"/>
      <c r="BT148" s="135"/>
      <c r="BU148" s="135"/>
      <c r="BV148" s="135"/>
      <c r="BW148" s="135"/>
      <c r="BX148" s="135"/>
      <c r="BY148" s="135"/>
      <c r="BZ148" s="135"/>
      <c r="CA148" s="135"/>
      <c r="CB148" s="135"/>
      <c r="CC148" s="135"/>
      <c r="CD148" s="136"/>
    </row>
    <row r="149" spans="2:82" hidden="1" x14ac:dyDescent="0.2">
      <c r="B149" s="291" t="s">
        <v>225</v>
      </c>
      <c r="C149" s="141"/>
      <c r="D149" s="131"/>
      <c r="E149" s="131"/>
      <c r="O149" s="131"/>
      <c r="P149" s="131"/>
      <c r="Q149" s="131"/>
      <c r="R149" s="131"/>
      <c r="S149" s="131"/>
      <c r="T149" s="131"/>
      <c r="U149" s="131"/>
      <c r="V149" s="131"/>
      <c r="W149" s="131"/>
      <c r="X149" s="131"/>
      <c r="Y149" s="131"/>
      <c r="Z149" s="131"/>
      <c r="AA149" s="131"/>
      <c r="AL149" s="131"/>
      <c r="AM149" s="131"/>
      <c r="AN149" s="131"/>
      <c r="AO149" s="131"/>
      <c r="AP149" s="131"/>
      <c r="AQ149" s="131"/>
      <c r="AR149" s="131"/>
      <c r="AS149" s="131"/>
      <c r="AT149" s="131"/>
      <c r="AU149" s="131"/>
      <c r="AV149" s="131"/>
      <c r="AW149" s="131"/>
      <c r="AX149" s="131"/>
      <c r="AY149" s="131"/>
      <c r="AZ149" s="433"/>
      <c r="BA149" s="131"/>
      <c r="BB149" s="131"/>
      <c r="BC149" s="131"/>
      <c r="BD149" s="131"/>
      <c r="BE149" s="131"/>
      <c r="BF149" s="131"/>
      <c r="BG149" s="131"/>
      <c r="CD149" s="133"/>
    </row>
    <row r="150" spans="2:82" ht="3.95" hidden="1" customHeight="1" x14ac:dyDescent="0.2">
      <c r="B150" s="292"/>
      <c r="C150" s="135"/>
      <c r="D150" s="135"/>
      <c r="E150" s="135"/>
      <c r="F150" s="135"/>
      <c r="G150" s="135"/>
      <c r="H150" s="135"/>
      <c r="I150" s="135"/>
      <c r="J150" s="135"/>
      <c r="K150" s="135"/>
      <c r="L150" s="135"/>
      <c r="M150" s="135"/>
      <c r="N150" s="135"/>
      <c r="O150" s="135"/>
      <c r="P150" s="135"/>
      <c r="Q150" s="135"/>
      <c r="R150" s="135"/>
      <c r="S150" s="135"/>
      <c r="T150" s="135"/>
      <c r="U150" s="135"/>
      <c r="V150" s="135"/>
      <c r="W150" s="135"/>
      <c r="X150" s="135"/>
      <c r="Y150" s="135"/>
      <c r="Z150" s="135"/>
      <c r="AA150" s="135"/>
      <c r="AB150" s="135"/>
      <c r="AC150" s="135"/>
      <c r="AD150" s="135"/>
      <c r="AE150" s="135"/>
      <c r="AF150" s="135"/>
      <c r="AG150" s="135"/>
      <c r="AH150" s="135"/>
      <c r="AI150" s="135"/>
      <c r="AJ150" s="135"/>
      <c r="AK150" s="135"/>
      <c r="AL150" s="135"/>
      <c r="AM150" s="135"/>
      <c r="AN150" s="135"/>
      <c r="AO150" s="135"/>
      <c r="AP150" s="135"/>
      <c r="AQ150" s="135"/>
      <c r="AR150" s="135"/>
      <c r="AS150" s="135"/>
      <c r="AT150" s="135"/>
      <c r="AU150" s="135"/>
      <c r="AV150" s="135"/>
      <c r="AW150" s="135"/>
      <c r="AX150" s="135"/>
      <c r="AY150" s="135"/>
      <c r="AZ150" s="435"/>
      <c r="BA150" s="135"/>
      <c r="BB150" s="135"/>
      <c r="BC150" s="135"/>
      <c r="BD150" s="135"/>
      <c r="BE150" s="135"/>
      <c r="BF150" s="135"/>
      <c r="BG150" s="135"/>
      <c r="BH150" s="135"/>
      <c r="BI150" s="135"/>
      <c r="BJ150" s="135"/>
      <c r="BK150" s="135"/>
      <c r="BL150" s="135"/>
      <c r="BM150" s="135"/>
      <c r="BN150" s="135"/>
      <c r="BO150" s="135"/>
      <c r="BP150" s="135"/>
      <c r="BQ150" s="135"/>
      <c r="BR150" s="135"/>
      <c r="BS150" s="135"/>
      <c r="BT150" s="135"/>
      <c r="BU150" s="135"/>
      <c r="BV150" s="135"/>
      <c r="BW150" s="135"/>
      <c r="BX150" s="135"/>
      <c r="BY150" s="135"/>
      <c r="BZ150" s="135"/>
      <c r="CA150" s="135"/>
      <c r="CB150" s="135"/>
      <c r="CC150" s="135"/>
      <c r="CD150" s="136"/>
    </row>
    <row r="151" spans="2:82" hidden="1" x14ac:dyDescent="0.2">
      <c r="B151" s="291" t="s">
        <v>226</v>
      </c>
      <c r="Q151" s="131"/>
      <c r="R151" s="131"/>
      <c r="S151" s="131"/>
      <c r="T151" s="131"/>
      <c r="U151" s="131"/>
      <c r="V151" s="131"/>
      <c r="W151" s="131"/>
      <c r="X151" s="131"/>
      <c r="Y151" s="131"/>
      <c r="Z151" s="131"/>
      <c r="AA151" s="131"/>
      <c r="AB151" s="131"/>
      <c r="AC151" s="131"/>
      <c r="AD151" s="131"/>
      <c r="AE151" s="131"/>
      <c r="AF151" s="131"/>
      <c r="AG151" s="131"/>
      <c r="AH151" s="131"/>
      <c r="AI151" s="131"/>
      <c r="AJ151" s="131"/>
      <c r="AK151" s="131"/>
      <c r="AL151" s="131"/>
      <c r="AM151" s="131"/>
      <c r="AN151" s="131"/>
      <c r="AO151" s="131"/>
      <c r="AP151" s="131"/>
      <c r="AQ151" s="131"/>
      <c r="AT151" s="131"/>
      <c r="AU151" s="131"/>
      <c r="AV151" s="131"/>
      <c r="AW151" s="131"/>
      <c r="AX151" s="131"/>
      <c r="AY151" s="131"/>
      <c r="AZ151" s="433"/>
      <c r="BA151" s="131"/>
      <c r="CD151" s="133"/>
    </row>
    <row r="152" spans="2:82" ht="3.95" hidden="1" customHeight="1" x14ac:dyDescent="0.2">
      <c r="B152" s="280"/>
      <c r="C152" s="135"/>
      <c r="D152" s="135"/>
      <c r="E152" s="135"/>
      <c r="F152" s="135"/>
      <c r="G152" s="135"/>
      <c r="H152" s="135"/>
      <c r="I152" s="135"/>
      <c r="J152" s="135"/>
      <c r="K152" s="135"/>
      <c r="L152" s="135"/>
      <c r="M152" s="135"/>
      <c r="N152" s="135"/>
      <c r="O152" s="135"/>
      <c r="P152" s="135"/>
      <c r="Q152" s="135"/>
      <c r="R152" s="135"/>
      <c r="S152" s="135"/>
      <c r="T152" s="135"/>
      <c r="U152" s="135"/>
      <c r="V152" s="135"/>
      <c r="W152" s="135"/>
      <c r="X152" s="135"/>
      <c r="Y152" s="135"/>
      <c r="Z152" s="135"/>
      <c r="AA152" s="135"/>
      <c r="AB152" s="135"/>
      <c r="AC152" s="135"/>
      <c r="AD152" s="135"/>
      <c r="AE152" s="135"/>
      <c r="AF152" s="135"/>
      <c r="AG152" s="135"/>
      <c r="AH152" s="135"/>
      <c r="AI152" s="135"/>
      <c r="AJ152" s="135"/>
      <c r="AK152" s="135"/>
      <c r="AL152" s="135"/>
      <c r="AM152" s="135"/>
      <c r="AN152" s="135"/>
      <c r="AO152" s="135"/>
      <c r="AP152" s="135"/>
      <c r="AQ152" s="135"/>
      <c r="AR152" s="135"/>
      <c r="AS152" s="135"/>
      <c r="AT152" s="135"/>
      <c r="AU152" s="135"/>
      <c r="AV152" s="135"/>
      <c r="AW152" s="135"/>
      <c r="AX152" s="135"/>
      <c r="AY152" s="135"/>
      <c r="AZ152" s="435"/>
      <c r="BA152" s="135"/>
      <c r="BB152" s="135"/>
      <c r="BC152" s="135"/>
      <c r="BD152" s="135"/>
      <c r="BE152" s="135"/>
      <c r="BF152" s="135"/>
      <c r="BG152" s="135"/>
      <c r="BH152" s="135"/>
      <c r="BI152" s="135"/>
      <c r="BJ152" s="135"/>
      <c r="BK152" s="135"/>
      <c r="BL152" s="135"/>
      <c r="BM152" s="135"/>
      <c r="BN152" s="135"/>
      <c r="BO152" s="135"/>
      <c r="BP152" s="135"/>
      <c r="BQ152" s="135"/>
      <c r="BR152" s="135"/>
      <c r="BS152" s="135"/>
      <c r="BT152" s="135"/>
      <c r="BU152" s="135"/>
      <c r="BV152" s="135"/>
      <c r="BW152" s="135"/>
      <c r="BX152" s="135"/>
      <c r="BY152" s="135"/>
      <c r="BZ152" s="135"/>
      <c r="CA152" s="135"/>
      <c r="CB152" s="135"/>
      <c r="CC152" s="135"/>
      <c r="CD152" s="136"/>
    </row>
    <row r="153" spans="2:82" x14ac:dyDescent="0.2">
      <c r="B153" s="284" t="s">
        <v>228</v>
      </c>
      <c r="E153" s="272"/>
      <c r="F153" s="272"/>
      <c r="G153" s="272"/>
      <c r="H153" s="272"/>
      <c r="L153" s="267"/>
      <c r="M153" s="267"/>
      <c r="N153" s="267"/>
      <c r="O153" s="267"/>
      <c r="P153" s="267"/>
      <c r="Q153" s="267"/>
      <c r="R153" s="267"/>
      <c r="S153" s="131"/>
      <c r="U153" s="273"/>
      <c r="V153" s="273"/>
      <c r="W153" s="273"/>
      <c r="X153" s="273"/>
      <c r="Y153" s="273"/>
      <c r="Z153" s="273"/>
      <c r="AD153" s="277"/>
      <c r="AE153" s="277"/>
      <c r="AF153" s="277"/>
      <c r="AH153" s="131"/>
      <c r="AI153" s="131"/>
      <c r="AK153" s="269"/>
      <c r="AL153" s="269"/>
      <c r="AM153" s="269"/>
      <c r="AN153" s="269"/>
      <c r="AO153" s="269"/>
      <c r="AP153" s="269"/>
      <c r="AZ153" s="433"/>
      <c r="BA153" s="131"/>
      <c r="CD153" s="133"/>
    </row>
    <row r="154" spans="2:82" ht="3.95" customHeight="1" x14ac:dyDescent="0.2">
      <c r="B154" s="280"/>
      <c r="C154" s="135"/>
      <c r="D154" s="135"/>
      <c r="E154" s="135"/>
      <c r="F154" s="135"/>
      <c r="G154" s="135"/>
      <c r="H154" s="135"/>
      <c r="I154" s="135"/>
      <c r="J154" s="135"/>
      <c r="K154" s="135"/>
      <c r="L154" s="135"/>
      <c r="M154" s="135"/>
      <c r="N154" s="135"/>
      <c r="O154" s="135"/>
      <c r="P154" s="135"/>
      <c r="Q154" s="135"/>
      <c r="R154" s="135"/>
      <c r="S154" s="135"/>
      <c r="T154" s="135"/>
      <c r="U154" s="135"/>
      <c r="V154" s="135"/>
      <c r="W154" s="135"/>
      <c r="X154" s="135"/>
      <c r="Y154" s="135"/>
      <c r="Z154" s="135"/>
      <c r="AA154" s="135"/>
      <c r="AB154" s="135"/>
      <c r="AC154" s="135"/>
      <c r="AD154" s="135"/>
      <c r="AE154" s="135"/>
      <c r="AF154" s="135"/>
      <c r="AH154" s="135"/>
      <c r="AI154" s="135"/>
      <c r="AJ154" s="135"/>
      <c r="AK154" s="135"/>
      <c r="AL154" s="135"/>
      <c r="AM154" s="135"/>
      <c r="AN154" s="135"/>
      <c r="AO154" s="135"/>
      <c r="AP154" s="135"/>
      <c r="AU154" s="135"/>
      <c r="AV154" s="135"/>
      <c r="AW154" s="135"/>
      <c r="AX154" s="135"/>
      <c r="AY154" s="135"/>
      <c r="AZ154" s="434"/>
      <c r="BA154" s="135"/>
      <c r="BB154" s="135"/>
      <c r="BC154" s="135"/>
      <c r="BD154" s="135"/>
      <c r="BE154" s="135"/>
      <c r="BF154" s="135"/>
      <c r="BG154" s="135"/>
      <c r="BH154" s="135"/>
      <c r="BI154" s="135"/>
      <c r="BJ154" s="135"/>
      <c r="BK154" s="135"/>
      <c r="BL154" s="135"/>
      <c r="BM154" s="135"/>
      <c r="BN154" s="135"/>
      <c r="BO154" s="135"/>
      <c r="BP154" s="135"/>
      <c r="BQ154" s="135"/>
      <c r="BR154" s="135"/>
      <c r="BS154" s="135"/>
      <c r="BT154" s="135"/>
      <c r="BU154" s="135"/>
      <c r="BV154" s="135"/>
      <c r="BW154" s="135"/>
      <c r="BX154" s="135"/>
      <c r="BY154" s="135"/>
      <c r="BZ154" s="135"/>
      <c r="CA154" s="135"/>
      <c r="CB154" s="135"/>
      <c r="CC154" s="135"/>
      <c r="CD154" s="136"/>
    </row>
    <row r="155" spans="2:82" x14ac:dyDescent="0.2">
      <c r="B155" s="145" t="s">
        <v>234</v>
      </c>
      <c r="C155" s="272"/>
      <c r="D155" s="272"/>
      <c r="E155" s="265"/>
      <c r="F155" s="265"/>
      <c r="J155" s="267"/>
      <c r="K155" s="267"/>
      <c r="L155" s="271"/>
      <c r="M155" s="271"/>
      <c r="N155" s="271"/>
      <c r="O155" s="131"/>
      <c r="P155" s="131"/>
      <c r="S155" s="273"/>
      <c r="T155" s="273"/>
      <c r="U155" s="274"/>
      <c r="V155" s="274"/>
      <c r="W155" s="131"/>
      <c r="X155" s="131"/>
      <c r="AA155" s="277"/>
      <c r="AB155" s="277"/>
      <c r="AC155" s="277"/>
      <c r="AD155" s="266"/>
      <c r="AE155" s="266"/>
      <c r="AF155" s="266"/>
      <c r="AG155" s="266"/>
      <c r="AH155" s="269"/>
      <c r="AI155" s="269"/>
      <c r="AJ155" s="269"/>
      <c r="AM155" s="275"/>
      <c r="AN155" s="275"/>
      <c r="AS155" s="278"/>
      <c r="AT155" s="278"/>
      <c r="AZ155" s="433"/>
      <c r="BA155" s="131"/>
      <c r="BB155" s="131"/>
      <c r="BC155" s="131"/>
      <c r="BD155" s="131"/>
      <c r="BE155" s="131"/>
      <c r="BF155" s="131"/>
      <c r="BG155" s="131"/>
      <c r="CD155" s="133"/>
    </row>
    <row r="156" spans="2:82" ht="3.95" customHeight="1" x14ac:dyDescent="0.2">
      <c r="B156" s="280"/>
      <c r="C156" s="135"/>
      <c r="D156" s="135"/>
      <c r="E156" s="135"/>
      <c r="F156" s="135"/>
      <c r="G156" s="135"/>
      <c r="H156" s="135"/>
      <c r="I156" s="135"/>
      <c r="J156" s="135"/>
      <c r="K156" s="135"/>
      <c r="L156" s="135"/>
      <c r="M156" s="135"/>
      <c r="N156" s="135"/>
      <c r="O156" s="135"/>
      <c r="P156" s="135"/>
      <c r="Q156" s="135"/>
      <c r="R156" s="135"/>
      <c r="S156" s="135"/>
      <c r="T156" s="135"/>
      <c r="U156" s="135"/>
      <c r="V156" s="135"/>
      <c r="W156" s="135"/>
      <c r="X156" s="135"/>
      <c r="Y156" s="135"/>
      <c r="Z156" s="135"/>
      <c r="AA156" s="135"/>
      <c r="AB156" s="135"/>
      <c r="AC156" s="135"/>
      <c r="AD156" s="135"/>
      <c r="AE156" s="135"/>
      <c r="AF156" s="135"/>
      <c r="AG156" s="135"/>
      <c r="AH156" s="135"/>
      <c r="AI156" s="135"/>
      <c r="AJ156" s="135"/>
      <c r="AK156" s="135"/>
      <c r="AL156" s="135"/>
      <c r="AM156" s="135"/>
      <c r="AN156" s="135"/>
      <c r="AO156" s="135"/>
      <c r="AP156" s="135"/>
      <c r="AQ156" s="135"/>
      <c r="AR156" s="135"/>
      <c r="AS156" s="135"/>
      <c r="AT156" s="135"/>
      <c r="AU156" s="135"/>
      <c r="AV156" s="135"/>
      <c r="AW156" s="135"/>
      <c r="AX156" s="135"/>
      <c r="AY156" s="135"/>
      <c r="AZ156" s="434"/>
      <c r="BA156" s="135"/>
      <c r="BB156" s="135"/>
      <c r="BC156" s="135"/>
      <c r="BD156" s="420"/>
      <c r="BE156" s="135"/>
      <c r="BF156" s="135"/>
      <c r="BG156" s="135"/>
      <c r="BH156" s="135"/>
      <c r="BI156" s="135"/>
      <c r="BJ156" s="135"/>
      <c r="BK156" s="135"/>
      <c r="BL156" s="135"/>
      <c r="BM156" s="135"/>
      <c r="BN156" s="135"/>
      <c r="BO156" s="135"/>
      <c r="BP156" s="135"/>
      <c r="BQ156" s="135"/>
      <c r="BR156" s="135"/>
      <c r="BS156" s="135"/>
      <c r="BT156" s="135"/>
      <c r="BU156" s="135"/>
      <c r="BV156" s="135"/>
      <c r="BW156" s="135"/>
      <c r="BX156" s="135"/>
      <c r="BY156" s="135"/>
      <c r="BZ156" s="135"/>
      <c r="CA156" s="135"/>
      <c r="CB156" s="135"/>
      <c r="CC156" s="135"/>
      <c r="CD156" s="136"/>
    </row>
    <row r="157" spans="2:82" x14ac:dyDescent="0.2">
      <c r="B157" s="284" t="s">
        <v>229</v>
      </c>
      <c r="C157" s="141"/>
      <c r="D157" s="131"/>
      <c r="G157" s="265"/>
      <c r="H157" s="265"/>
      <c r="I157" s="265"/>
      <c r="J157" s="265"/>
      <c r="O157" s="271"/>
      <c r="P157" s="271"/>
      <c r="Q157" s="271"/>
      <c r="R157" s="271"/>
      <c r="S157" s="271"/>
      <c r="T157" s="271"/>
      <c r="W157" s="274"/>
      <c r="X157" s="274"/>
      <c r="Y157" s="274"/>
      <c r="Z157" s="274"/>
      <c r="AA157" s="274"/>
      <c r="AB157" s="131"/>
      <c r="AC157" s="131"/>
      <c r="AD157" s="131"/>
      <c r="AH157" s="266"/>
      <c r="AI157" s="266"/>
      <c r="AJ157" s="266"/>
      <c r="AK157" s="266"/>
      <c r="AL157" s="266"/>
      <c r="AO157" s="275"/>
      <c r="AP157" s="275"/>
      <c r="AQ157" s="275"/>
      <c r="AR157" s="275"/>
      <c r="AS157" s="131"/>
      <c r="AT157" s="131"/>
      <c r="AU157" s="278"/>
      <c r="AV157" s="278"/>
      <c r="AW157" s="278"/>
      <c r="AX157" s="278"/>
      <c r="AZ157" s="433"/>
      <c r="BA157" s="131"/>
      <c r="BB157" s="131"/>
      <c r="BC157" s="131"/>
      <c r="BD157" s="131"/>
      <c r="BE157" s="131"/>
      <c r="BF157" s="131"/>
      <c r="BG157" s="131"/>
      <c r="BH157" s="131"/>
      <c r="BI157" s="131"/>
      <c r="BJ157" s="131"/>
      <c r="BK157" s="131"/>
      <c r="BL157" s="131"/>
      <c r="BM157" s="131"/>
      <c r="BN157" s="131"/>
      <c r="BO157" s="131"/>
      <c r="BP157" s="131"/>
      <c r="BQ157" s="131"/>
      <c r="BR157" s="131"/>
      <c r="BS157" s="131"/>
      <c r="BT157" s="131"/>
      <c r="BU157" s="131"/>
      <c r="BV157" s="131"/>
      <c r="BW157" s="131"/>
      <c r="CD157" s="133"/>
    </row>
    <row r="158" spans="2:82" ht="3.95" customHeight="1" x14ac:dyDescent="0.2">
      <c r="B158" s="280"/>
      <c r="C158" s="135"/>
      <c r="D158" s="135"/>
      <c r="E158" s="135"/>
      <c r="F158" s="135"/>
      <c r="G158" s="135"/>
      <c r="H158" s="135"/>
      <c r="J158" s="135"/>
      <c r="K158" s="135"/>
      <c r="L158" s="135"/>
      <c r="M158" s="135"/>
      <c r="N158" s="135"/>
      <c r="O158" s="135"/>
      <c r="P158" s="135"/>
      <c r="Q158" s="135"/>
      <c r="R158" s="135"/>
      <c r="S158" s="135"/>
      <c r="T158" s="135"/>
      <c r="U158" s="135"/>
      <c r="V158" s="135"/>
      <c r="W158" s="135"/>
      <c r="X158" s="135"/>
      <c r="Y158" s="135"/>
      <c r="Z158" s="135"/>
      <c r="AA158" s="135"/>
      <c r="AB158" s="135"/>
      <c r="AC158" s="135"/>
      <c r="AD158" s="135"/>
      <c r="AE158" s="135"/>
      <c r="AF158" s="135"/>
      <c r="AG158" s="135"/>
      <c r="AH158" s="135"/>
      <c r="AI158" s="135"/>
      <c r="AJ158" s="135"/>
      <c r="AK158" s="135"/>
      <c r="AL158" s="135"/>
      <c r="AM158" s="135"/>
      <c r="AN158" s="135"/>
      <c r="AO158" s="135"/>
      <c r="AP158" s="135"/>
      <c r="AQ158" s="135"/>
      <c r="AR158" s="135"/>
      <c r="AS158" s="135"/>
      <c r="AT158" s="135"/>
      <c r="AU158" s="135"/>
      <c r="AV158" s="135"/>
      <c r="AW158" s="135"/>
      <c r="AX158" s="135"/>
      <c r="AY158" s="135"/>
      <c r="AZ158" s="434"/>
      <c r="BA158" s="135"/>
      <c r="BB158" s="135"/>
      <c r="BC158" s="135"/>
      <c r="BD158" s="135"/>
      <c r="BE158" s="135"/>
      <c r="BF158" s="135"/>
      <c r="BG158" s="135"/>
      <c r="BH158" s="135"/>
      <c r="BI158" s="135"/>
      <c r="BJ158" s="135"/>
      <c r="BK158" s="135"/>
      <c r="BL158" s="135"/>
      <c r="BM158" s="135"/>
      <c r="BN158" s="135"/>
      <c r="BO158" s="135"/>
      <c r="BP158" s="135"/>
      <c r="BQ158" s="135"/>
      <c r="BR158" s="135"/>
      <c r="BS158" s="135"/>
      <c r="BT158" s="135"/>
      <c r="BU158" s="135"/>
      <c r="BV158" s="135"/>
      <c r="BW158" s="135"/>
      <c r="BX158" s="135"/>
      <c r="BY158" s="135"/>
      <c r="BZ158" s="135"/>
      <c r="CA158" s="135"/>
      <c r="CB158" s="135"/>
      <c r="CC158" s="135"/>
      <c r="CD158" s="136"/>
    </row>
    <row r="159" spans="2:82" ht="7.9" customHeight="1" x14ac:dyDescent="0.2">
      <c r="B159" s="291" t="s">
        <v>235</v>
      </c>
      <c r="C159" s="286"/>
      <c r="D159" s="286"/>
      <c r="E159" s="286"/>
      <c r="F159" s="286"/>
      <c r="G159" s="286"/>
      <c r="H159" s="286"/>
      <c r="I159" s="286"/>
      <c r="J159" s="286"/>
      <c r="K159" s="286"/>
      <c r="L159" s="286"/>
      <c r="M159" s="286"/>
      <c r="N159" s="286"/>
      <c r="O159" s="286"/>
      <c r="P159" s="286"/>
      <c r="Q159" s="287"/>
      <c r="R159" s="286"/>
      <c r="S159" s="286"/>
      <c r="T159" s="286"/>
      <c r="U159" s="287"/>
      <c r="V159" s="287"/>
      <c r="W159" s="287"/>
      <c r="X159" s="287"/>
      <c r="Y159" s="287"/>
      <c r="Z159" s="286"/>
      <c r="AA159" s="286"/>
      <c r="AB159" s="286"/>
      <c r="AC159" s="286"/>
      <c r="AD159" s="287"/>
      <c r="AE159" s="287"/>
      <c r="AF159" s="287"/>
      <c r="AG159" s="287"/>
      <c r="AH159" s="287"/>
      <c r="AI159" s="286"/>
      <c r="AJ159" s="286"/>
      <c r="AK159" s="286"/>
      <c r="AL159" s="286"/>
      <c r="AM159" s="286"/>
      <c r="AN159" s="286"/>
      <c r="AO159" s="287"/>
      <c r="AP159" s="287"/>
      <c r="AQ159" s="286"/>
      <c r="AR159" s="286"/>
      <c r="AS159" s="286"/>
      <c r="AT159" s="286"/>
      <c r="AU159" s="286"/>
      <c r="AV159" s="286"/>
      <c r="AW159" s="286"/>
      <c r="AX159" s="286"/>
      <c r="AY159" s="286"/>
      <c r="AZ159" s="436"/>
      <c r="BA159" s="287"/>
      <c r="BB159" s="286"/>
      <c r="BC159" s="286"/>
      <c r="BD159" s="286"/>
      <c r="BE159" s="286"/>
      <c r="BF159" s="286"/>
      <c r="BG159" s="286"/>
      <c r="BH159" s="286"/>
      <c r="BI159" s="286"/>
      <c r="BJ159" s="286"/>
      <c r="BK159" s="286"/>
      <c r="BL159" s="286"/>
      <c r="BM159" s="286"/>
      <c r="BN159" s="286"/>
      <c r="BO159" s="286"/>
      <c r="BP159" s="286"/>
      <c r="BQ159" s="286"/>
      <c r="BR159" s="286"/>
      <c r="BS159" s="286"/>
      <c r="BT159" s="286"/>
      <c r="BU159" s="286"/>
      <c r="BV159" s="286"/>
      <c r="BW159" s="286"/>
      <c r="BX159" s="286"/>
      <c r="BY159" s="286"/>
      <c r="BZ159" s="286"/>
      <c r="CA159" s="286"/>
      <c r="CB159" s="286"/>
      <c r="CC159" s="286"/>
      <c r="CD159" s="288"/>
    </row>
    <row r="160" spans="2:82" ht="3.95" customHeight="1" x14ac:dyDescent="0.2">
      <c r="B160" s="280"/>
      <c r="C160" s="135"/>
      <c r="D160" s="135"/>
      <c r="E160" s="135"/>
      <c r="F160" s="135"/>
      <c r="G160" s="135"/>
      <c r="H160" s="135"/>
      <c r="I160" s="135"/>
      <c r="J160" s="135"/>
      <c r="K160" s="135"/>
      <c r="L160" s="135"/>
      <c r="M160" s="135"/>
      <c r="N160" s="135"/>
      <c r="O160" s="135"/>
      <c r="P160" s="135"/>
      <c r="Q160" s="135"/>
      <c r="R160" s="135"/>
      <c r="S160" s="135"/>
      <c r="T160" s="135"/>
      <c r="U160" s="135"/>
      <c r="V160" s="135"/>
      <c r="W160" s="135"/>
      <c r="X160" s="135"/>
      <c r="Y160" s="135"/>
      <c r="Z160" s="135"/>
      <c r="AA160" s="135"/>
      <c r="AB160" s="135"/>
      <c r="AC160" s="135"/>
      <c r="AD160" s="135"/>
      <c r="AE160" s="135"/>
      <c r="AF160" s="135"/>
      <c r="AG160" s="135"/>
      <c r="AH160" s="135"/>
      <c r="AI160" s="135"/>
      <c r="AJ160" s="135"/>
      <c r="AK160" s="135"/>
      <c r="AL160" s="135"/>
      <c r="AM160" s="135"/>
      <c r="AN160" s="135"/>
      <c r="AO160" s="135"/>
      <c r="AP160" s="135"/>
      <c r="AQ160" s="135"/>
      <c r="AR160" s="135"/>
      <c r="AS160" s="135"/>
      <c r="AT160" s="135"/>
      <c r="AU160" s="135"/>
      <c r="AV160" s="135"/>
      <c r="AW160" s="135"/>
      <c r="AX160" s="135"/>
      <c r="AY160" s="135"/>
      <c r="AZ160" s="434"/>
      <c r="BA160" s="135"/>
      <c r="BB160" s="135"/>
      <c r="BC160" s="135"/>
      <c r="BD160" s="135"/>
      <c r="BE160" s="135"/>
      <c r="BF160" s="135"/>
      <c r="BG160" s="135"/>
      <c r="BH160" s="135"/>
      <c r="BI160" s="135"/>
      <c r="BJ160" s="135"/>
      <c r="BK160" s="135"/>
      <c r="BL160" s="135"/>
      <c r="BM160" s="135"/>
      <c r="BN160" s="135"/>
      <c r="BO160" s="135"/>
      <c r="BP160" s="135"/>
      <c r="BQ160" s="135"/>
      <c r="BR160" s="135"/>
      <c r="BS160" s="135"/>
      <c r="BT160" s="135"/>
      <c r="BU160" s="135"/>
      <c r="BV160" s="135"/>
      <c r="BW160" s="135"/>
      <c r="BX160" s="135"/>
      <c r="BY160" s="135"/>
      <c r="BZ160" s="135"/>
      <c r="CA160" s="135"/>
      <c r="CB160" s="135"/>
      <c r="CC160" s="135"/>
      <c r="CD160" s="136"/>
    </row>
    <row r="161" spans="2:89" x14ac:dyDescent="0.2">
      <c r="B161" s="285" t="s">
        <v>230</v>
      </c>
      <c r="F161" s="271"/>
      <c r="G161" s="271"/>
      <c r="H161" s="271"/>
      <c r="I161" s="271"/>
      <c r="L161" s="272"/>
      <c r="M161" s="272"/>
      <c r="P161" s="276"/>
      <c r="Q161" s="276"/>
      <c r="R161" s="276"/>
      <c r="S161" s="276"/>
      <c r="T161" s="276"/>
      <c r="X161" s="267"/>
      <c r="Y161" s="267"/>
      <c r="Z161" s="267"/>
      <c r="AA161" s="267"/>
      <c r="AB161" s="267"/>
      <c r="AC161" s="267"/>
      <c r="AD161" s="131"/>
      <c r="AG161" s="274"/>
      <c r="AH161" s="274"/>
      <c r="AI161" s="274"/>
      <c r="AJ161" s="274"/>
      <c r="AK161" s="274"/>
      <c r="AL161" s="274"/>
      <c r="AM161" s="274"/>
      <c r="AN161" s="274"/>
      <c r="AO161" s="131"/>
      <c r="AS161" s="266"/>
      <c r="AT161" s="266"/>
      <c r="AU161" s="266"/>
      <c r="AV161" s="266"/>
      <c r="AW161" s="266"/>
      <c r="AX161" s="266"/>
      <c r="AY161" s="131"/>
      <c r="AZ161" s="433"/>
      <c r="BA161" s="131"/>
      <c r="CD161" s="133"/>
    </row>
    <row r="162" spans="2:89" ht="3.95" customHeight="1" x14ac:dyDescent="0.2">
      <c r="B162" s="280"/>
      <c r="C162" s="135"/>
      <c r="D162" s="135"/>
      <c r="E162" s="135"/>
      <c r="F162" s="135"/>
      <c r="G162" s="135"/>
      <c r="H162" s="135"/>
      <c r="I162" s="135"/>
      <c r="J162" s="135"/>
      <c r="K162" s="135"/>
      <c r="L162" s="135"/>
      <c r="M162" s="135"/>
      <c r="N162" s="135"/>
      <c r="O162" s="135"/>
      <c r="P162" s="135"/>
      <c r="Q162" s="135"/>
      <c r="R162" s="135"/>
      <c r="S162" s="135"/>
      <c r="T162" s="135"/>
      <c r="U162" s="135"/>
      <c r="V162" s="135"/>
      <c r="W162" s="135"/>
      <c r="X162" s="135"/>
      <c r="Y162" s="135"/>
      <c r="Z162" s="135"/>
      <c r="AA162" s="135"/>
      <c r="AB162" s="135"/>
      <c r="AC162" s="135"/>
      <c r="AD162" s="135"/>
      <c r="AE162" s="135"/>
      <c r="AF162" s="135"/>
      <c r="AG162" s="135"/>
      <c r="AH162" s="135"/>
      <c r="AI162" s="135"/>
      <c r="AJ162" s="135"/>
      <c r="AK162" s="135"/>
      <c r="AL162" s="135"/>
      <c r="AM162" s="135"/>
      <c r="AN162" s="135"/>
      <c r="AO162" s="135"/>
      <c r="AP162" s="135"/>
      <c r="AQ162" s="135"/>
      <c r="AR162" s="135"/>
      <c r="AS162" s="135"/>
      <c r="AT162" s="135"/>
      <c r="AU162" s="135"/>
      <c r="AV162" s="135"/>
      <c r="AW162" s="135"/>
      <c r="AX162" s="135"/>
      <c r="AY162" s="135"/>
      <c r="AZ162" s="434"/>
      <c r="BA162" s="135"/>
      <c r="BB162" s="135"/>
      <c r="BC162" s="135"/>
      <c r="BD162" s="135"/>
      <c r="BE162" s="135"/>
      <c r="BF162" s="135"/>
      <c r="BG162" s="135"/>
      <c r="BH162" s="135"/>
      <c r="BI162" s="135"/>
      <c r="BJ162" s="135"/>
      <c r="BK162" s="135"/>
      <c r="BL162" s="135"/>
      <c r="BM162" s="135"/>
      <c r="BN162" s="135"/>
      <c r="BO162" s="135"/>
      <c r="BP162" s="135"/>
      <c r="BQ162" s="135"/>
      <c r="BR162" s="135"/>
      <c r="BS162" s="135"/>
      <c r="BT162" s="135"/>
      <c r="BU162" s="135"/>
      <c r="BV162" s="135"/>
      <c r="BW162" s="135"/>
      <c r="BX162" s="135"/>
      <c r="BY162" s="135"/>
      <c r="BZ162" s="135"/>
      <c r="CA162" s="135"/>
      <c r="CB162" s="135"/>
      <c r="CC162" s="135"/>
      <c r="CD162" s="136"/>
    </row>
    <row r="163" spans="2:89" x14ac:dyDescent="0.2">
      <c r="B163" s="145" t="s">
        <v>231</v>
      </c>
      <c r="C163" s="271"/>
      <c r="D163" s="271"/>
      <c r="E163" s="271"/>
      <c r="F163" s="278"/>
      <c r="G163" s="278"/>
      <c r="J163" s="272"/>
      <c r="K163" s="272"/>
      <c r="N163" s="276"/>
      <c r="O163" s="276"/>
      <c r="U163" s="267"/>
      <c r="V163" s="267"/>
      <c r="W163" s="267"/>
      <c r="X163" s="270"/>
      <c r="Y163" s="270"/>
      <c r="AA163" s="131"/>
      <c r="AD163" s="274"/>
      <c r="AE163" s="274"/>
      <c r="AF163" s="274"/>
      <c r="AG163" s="273"/>
      <c r="AH163" s="273"/>
      <c r="AI163" s="131"/>
      <c r="AJ163" s="131"/>
      <c r="AK163" s="131"/>
      <c r="AL163" s="131"/>
      <c r="AO163" s="266"/>
      <c r="AP163" s="266"/>
      <c r="AQ163" s="266"/>
      <c r="AR163" s="266"/>
      <c r="AS163" s="277"/>
      <c r="AT163" s="277"/>
      <c r="AU163" s="277"/>
      <c r="AV163" s="131"/>
      <c r="AY163" s="131"/>
      <c r="AZ163" s="433"/>
      <c r="BA163" s="131"/>
      <c r="CD163" s="133"/>
    </row>
    <row r="164" spans="2:89" ht="3.95" customHeight="1" x14ac:dyDescent="0.2">
      <c r="B164" s="280"/>
      <c r="C164" s="135"/>
      <c r="D164" s="135"/>
      <c r="E164" s="135"/>
      <c r="F164" s="135"/>
      <c r="G164" s="135"/>
      <c r="H164" s="135"/>
      <c r="I164" s="135"/>
      <c r="J164" s="135"/>
      <c r="K164" s="135"/>
      <c r="L164" s="135"/>
      <c r="M164" s="135"/>
      <c r="N164" s="135"/>
      <c r="O164" s="135"/>
      <c r="P164" s="135"/>
      <c r="Q164" s="135"/>
      <c r="R164" s="135"/>
      <c r="S164" s="135"/>
      <c r="T164" s="135"/>
      <c r="U164" s="135"/>
      <c r="V164" s="135"/>
      <c r="W164" s="135"/>
      <c r="X164" s="135"/>
      <c r="Y164" s="135"/>
      <c r="Z164" s="135"/>
      <c r="AA164" s="135"/>
      <c r="AB164" s="135"/>
      <c r="AC164" s="135"/>
      <c r="AD164" s="135"/>
      <c r="AE164" s="135"/>
      <c r="AF164" s="135"/>
      <c r="AG164" s="135"/>
      <c r="AH164" s="135"/>
      <c r="AI164" s="135"/>
      <c r="AJ164" s="135"/>
      <c r="AK164" s="135"/>
      <c r="AL164" s="135"/>
      <c r="AM164" s="135"/>
      <c r="AN164" s="135"/>
      <c r="AO164" s="135"/>
      <c r="AP164" s="135"/>
      <c r="AQ164" s="135"/>
      <c r="AR164" s="135"/>
      <c r="AS164" s="135"/>
      <c r="AT164" s="135"/>
      <c r="AU164" s="135"/>
      <c r="AV164" s="135"/>
      <c r="AW164" s="135"/>
      <c r="AX164" s="135"/>
      <c r="AY164" s="135"/>
      <c r="AZ164" s="434"/>
      <c r="BA164" s="135"/>
      <c r="BB164" s="135"/>
      <c r="BC164" s="135"/>
      <c r="BD164" s="135"/>
      <c r="BE164" s="135"/>
      <c r="BF164" s="135"/>
      <c r="BG164" s="135"/>
      <c r="BH164" s="135"/>
      <c r="BI164" s="135"/>
      <c r="BJ164" s="135"/>
      <c r="BK164" s="135"/>
      <c r="BL164" s="135"/>
      <c r="BM164" s="135"/>
      <c r="BN164" s="135"/>
      <c r="BO164" s="135"/>
      <c r="BP164" s="135"/>
      <c r="BQ164" s="135"/>
      <c r="BR164" s="135"/>
      <c r="BS164" s="135"/>
      <c r="BT164" s="135"/>
      <c r="BU164" s="135"/>
      <c r="BV164" s="135"/>
      <c r="BW164" s="135"/>
      <c r="BX164" s="135"/>
      <c r="BY164" s="135"/>
      <c r="BZ164" s="135"/>
      <c r="CA164" s="135"/>
      <c r="CB164" s="135"/>
      <c r="CC164" s="135"/>
      <c r="CD164" s="136"/>
    </row>
    <row r="165" spans="2:89" x14ac:dyDescent="0.2">
      <c r="B165" s="285" t="s">
        <v>232</v>
      </c>
      <c r="C165" s="131"/>
      <c r="D165" s="131"/>
      <c r="H165" s="278"/>
      <c r="I165" s="278"/>
      <c r="J165" s="278"/>
      <c r="K165" s="278"/>
      <c r="L165" s="278"/>
      <c r="M165" s="278"/>
      <c r="O165" s="131"/>
      <c r="P165" s="131"/>
      <c r="Q165" s="131"/>
      <c r="Z165" s="270"/>
      <c r="AA165" s="270"/>
      <c r="AB165" s="270"/>
      <c r="AC165" s="270"/>
      <c r="AD165" s="270"/>
      <c r="AE165" s="270"/>
      <c r="AI165" s="273"/>
      <c r="AJ165" s="273"/>
      <c r="AK165" s="273"/>
      <c r="AL165" s="273"/>
      <c r="AM165" s="273"/>
      <c r="AN165" s="273"/>
      <c r="AV165" s="277"/>
      <c r="AW165" s="277"/>
      <c r="AX165" s="277"/>
      <c r="AY165" s="277"/>
      <c r="AZ165" s="433"/>
      <c r="BA165" s="131"/>
      <c r="BB165" s="131"/>
      <c r="BC165" s="131"/>
      <c r="BD165" s="131"/>
      <c r="BE165" s="131"/>
      <c r="BF165" s="131"/>
      <c r="BG165" s="131"/>
      <c r="CD165" s="133"/>
    </row>
    <row r="166" spans="2:89" ht="3.95" customHeight="1" x14ac:dyDescent="0.2">
      <c r="B166" s="280"/>
      <c r="C166" s="135"/>
      <c r="D166" s="135"/>
      <c r="E166" s="135"/>
      <c r="F166" s="135"/>
      <c r="G166" s="135"/>
      <c r="H166" s="135"/>
      <c r="I166" s="135"/>
      <c r="J166" s="135"/>
      <c r="K166" s="135"/>
      <c r="L166" s="135"/>
      <c r="M166" s="135"/>
      <c r="N166" s="135"/>
      <c r="O166" s="135"/>
      <c r="P166" s="135"/>
      <c r="Q166" s="135"/>
      <c r="R166" s="135"/>
      <c r="T166" s="135"/>
      <c r="U166" s="135"/>
      <c r="V166" s="135"/>
      <c r="W166" s="135"/>
      <c r="X166" s="135"/>
      <c r="Y166" s="135"/>
      <c r="Z166" s="135"/>
      <c r="AA166" s="135"/>
      <c r="AB166" s="135"/>
      <c r="AC166" s="135"/>
      <c r="AD166" s="135"/>
      <c r="AE166" s="135"/>
      <c r="AF166" s="135"/>
      <c r="AG166" s="135"/>
      <c r="AH166" s="135"/>
      <c r="AI166" s="135"/>
      <c r="AJ166" s="135"/>
      <c r="AK166" s="135"/>
      <c r="AL166" s="135"/>
      <c r="AM166" s="135"/>
      <c r="AN166" s="135"/>
      <c r="AO166" s="135"/>
      <c r="AP166" s="135"/>
      <c r="AQ166" s="135"/>
      <c r="AR166" s="135"/>
      <c r="AS166" s="135"/>
      <c r="AT166" s="135"/>
      <c r="AU166" s="135"/>
      <c r="AV166" s="135"/>
      <c r="AW166" s="135"/>
      <c r="AX166" s="135"/>
      <c r="AY166" s="135"/>
      <c r="AZ166" s="434"/>
      <c r="BA166" s="135"/>
      <c r="BB166" s="135"/>
      <c r="BC166" s="135"/>
      <c r="BD166" s="135"/>
      <c r="BE166" s="135"/>
      <c r="BF166" s="135"/>
      <c r="BG166" s="135"/>
      <c r="BH166" s="135"/>
      <c r="BI166" s="135"/>
      <c r="BJ166" s="135"/>
      <c r="BK166" s="135"/>
      <c r="BL166" s="135"/>
      <c r="BM166" s="135"/>
      <c r="BN166" s="135"/>
      <c r="BO166" s="135"/>
      <c r="BP166" s="135"/>
      <c r="BQ166" s="135"/>
      <c r="BR166" s="135"/>
      <c r="BS166" s="135"/>
      <c r="BT166" s="135"/>
      <c r="BU166" s="135"/>
      <c r="BV166" s="135"/>
      <c r="BW166" s="135"/>
      <c r="BX166" s="135"/>
      <c r="BY166" s="135"/>
      <c r="BZ166" s="135"/>
      <c r="CA166" s="135"/>
      <c r="CB166" s="135"/>
      <c r="CC166" s="135"/>
      <c r="CD166" s="136"/>
    </row>
    <row r="167" spans="2:89" hidden="1" x14ac:dyDescent="0.2">
      <c r="B167" s="442" t="s">
        <v>233</v>
      </c>
      <c r="C167" s="278"/>
      <c r="D167" s="278"/>
      <c r="E167" s="131"/>
      <c r="O167" s="131"/>
      <c r="P167" s="131"/>
      <c r="Q167" s="131"/>
      <c r="T167" s="270"/>
      <c r="U167" s="270"/>
      <c r="V167" s="131"/>
      <c r="W167" s="131"/>
      <c r="X167" s="131"/>
      <c r="AA167" s="131"/>
      <c r="AB167" s="273"/>
      <c r="AC167" s="273"/>
      <c r="AD167" s="131"/>
      <c r="AE167" s="131"/>
      <c r="AF167" s="131"/>
      <c r="AJ167" s="277"/>
      <c r="AK167" s="277"/>
      <c r="AL167" s="277"/>
      <c r="AN167" s="131"/>
      <c r="AO167" s="131"/>
      <c r="AP167" s="131"/>
      <c r="AV167" s="131"/>
      <c r="AW167" s="131"/>
      <c r="AX167" s="131"/>
      <c r="AY167" s="131"/>
      <c r="AZ167" s="443"/>
      <c r="BA167" s="441"/>
      <c r="BB167" s="441"/>
      <c r="BC167" s="388"/>
      <c r="BD167" s="388"/>
      <c r="BE167" s="388"/>
      <c r="BF167" s="388"/>
      <c r="BG167" s="388"/>
      <c r="BH167" s="387"/>
      <c r="BI167" s="387"/>
      <c r="BJ167" s="387"/>
      <c r="BK167" s="387"/>
      <c r="BL167" s="387"/>
      <c r="BM167" s="387"/>
      <c r="BN167" s="387"/>
      <c r="BO167" s="387"/>
      <c r="BP167" s="387"/>
      <c r="BQ167" s="387"/>
      <c r="BR167" s="387"/>
      <c r="BS167" s="387"/>
      <c r="BT167" s="387"/>
      <c r="BU167" s="387"/>
      <c r="BV167" s="387"/>
      <c r="BW167" s="387"/>
      <c r="BX167" s="387"/>
      <c r="BY167" s="387"/>
      <c r="BZ167" s="387"/>
      <c r="CA167" s="387"/>
      <c r="CB167" s="387"/>
      <c r="CC167" s="387"/>
      <c r="CD167" s="389"/>
    </row>
    <row r="168" spans="2:89" ht="3.95" customHeight="1" x14ac:dyDescent="0.2">
      <c r="B168" s="280"/>
      <c r="C168" s="135"/>
      <c r="D168" s="135"/>
      <c r="E168" s="135"/>
      <c r="F168" s="135"/>
      <c r="G168" s="135"/>
      <c r="H168" s="135"/>
      <c r="I168" s="135"/>
      <c r="J168" s="135"/>
      <c r="K168" s="135"/>
      <c r="L168" s="135"/>
      <c r="M168" s="135"/>
      <c r="N168" s="135"/>
      <c r="O168" s="135"/>
      <c r="P168" s="135"/>
      <c r="Q168" s="135"/>
      <c r="R168" s="135"/>
      <c r="S168" s="135"/>
      <c r="T168" s="135"/>
      <c r="U168" s="135"/>
      <c r="V168" s="135"/>
      <c r="W168" s="135"/>
      <c r="X168" s="135"/>
      <c r="Y168" s="135"/>
      <c r="Z168" s="135"/>
      <c r="AA168" s="135"/>
      <c r="AB168" s="135"/>
      <c r="AC168" s="135"/>
      <c r="AD168" s="135"/>
      <c r="AE168" s="135"/>
      <c r="AF168" s="135"/>
      <c r="AG168" s="135"/>
      <c r="AH168" s="135"/>
      <c r="AI168" s="135"/>
      <c r="AJ168" s="135"/>
      <c r="AK168" s="135"/>
      <c r="AL168" s="135"/>
      <c r="AM168" s="135"/>
      <c r="AN168" s="135"/>
      <c r="AO168" s="135"/>
      <c r="AP168" s="135"/>
      <c r="AQ168" s="135"/>
      <c r="AR168" s="135"/>
      <c r="AS168" s="135"/>
      <c r="AT168" s="135"/>
      <c r="AU168" s="135"/>
      <c r="AV168" s="135"/>
      <c r="AW168" s="135"/>
      <c r="AX168" s="135"/>
      <c r="AY168" s="135"/>
      <c r="AZ168" s="434"/>
      <c r="BA168" s="135"/>
      <c r="BB168" s="135"/>
      <c r="BC168" s="135"/>
      <c r="BD168" s="135"/>
      <c r="BE168" s="135"/>
      <c r="BF168" s="135"/>
      <c r="BG168" s="135"/>
      <c r="BH168" s="135"/>
      <c r="BI168" s="135"/>
      <c r="BJ168" s="135"/>
      <c r="BK168" s="135"/>
      <c r="BL168" s="135"/>
      <c r="BM168" s="135"/>
      <c r="BN168" s="135"/>
      <c r="BO168" s="135"/>
      <c r="BP168" s="135"/>
      <c r="BQ168" s="135"/>
      <c r="BR168" s="135"/>
      <c r="BS168" s="135"/>
      <c r="BT168" s="135"/>
      <c r="BU168" s="135"/>
      <c r="BV168" s="135"/>
      <c r="BW168" s="135"/>
      <c r="BX168" s="135"/>
      <c r="BY168" s="135"/>
      <c r="BZ168" s="135"/>
      <c r="CA168" s="135"/>
      <c r="CB168" s="135"/>
      <c r="CC168" s="135"/>
      <c r="CD168" s="136"/>
    </row>
    <row r="169" spans="2:89" x14ac:dyDescent="0.2">
      <c r="B169" s="145"/>
      <c r="Q169" s="131"/>
      <c r="R169" s="131"/>
      <c r="S169" s="131"/>
      <c r="T169" s="131"/>
      <c r="U169" s="131"/>
      <c r="V169" s="131"/>
      <c r="W169" s="131"/>
      <c r="X169" s="131"/>
      <c r="Y169" s="131"/>
      <c r="Z169" s="131"/>
      <c r="AA169" s="131"/>
      <c r="AB169" s="131"/>
      <c r="AC169" s="131"/>
      <c r="AD169" s="131"/>
      <c r="AE169" s="131"/>
      <c r="AF169" s="131"/>
      <c r="AG169" s="131"/>
      <c r="AH169" s="131"/>
      <c r="AI169" s="131"/>
      <c r="AJ169" s="131"/>
      <c r="AK169" s="131"/>
      <c r="AL169" s="131"/>
      <c r="AM169" s="131"/>
      <c r="AN169" s="131"/>
      <c r="AO169" s="131"/>
      <c r="AP169" s="131"/>
      <c r="AQ169" s="131"/>
      <c r="AT169" s="131"/>
      <c r="AU169" s="131"/>
      <c r="AV169" s="131"/>
      <c r="AW169" s="131"/>
      <c r="AX169" s="131"/>
      <c r="AY169" s="131"/>
      <c r="AZ169" s="433"/>
      <c r="BA169" s="131"/>
      <c r="CD169" s="133"/>
    </row>
    <row r="170" spans="2:89" ht="3.95" customHeight="1" thickBot="1" x14ac:dyDescent="0.25">
      <c r="B170" s="384"/>
      <c r="C170" s="139"/>
      <c r="D170" s="139"/>
      <c r="E170" s="139"/>
      <c r="F170" s="139"/>
      <c r="G170" s="139"/>
      <c r="H170" s="139"/>
      <c r="I170" s="139"/>
      <c r="J170" s="139"/>
      <c r="K170" s="139"/>
      <c r="L170" s="139"/>
      <c r="M170" s="139"/>
      <c r="N170" s="139"/>
      <c r="O170" s="139"/>
      <c r="P170" s="139"/>
      <c r="Q170" s="139"/>
      <c r="R170" s="139"/>
      <c r="S170" s="139"/>
      <c r="T170" s="139"/>
      <c r="U170" s="139"/>
      <c r="V170" s="139"/>
      <c r="W170" s="139"/>
      <c r="X170" s="139"/>
      <c r="Y170" s="139"/>
      <c r="Z170" s="139"/>
      <c r="AA170" s="139"/>
      <c r="AB170" s="139"/>
      <c r="AC170" s="139"/>
      <c r="AD170" s="139"/>
      <c r="AE170" s="139"/>
      <c r="AF170" s="139"/>
      <c r="AG170" s="139"/>
      <c r="AH170" s="139"/>
      <c r="AI170" s="139"/>
      <c r="AJ170" s="139"/>
      <c r="AK170" s="139"/>
      <c r="AL170" s="139"/>
      <c r="AM170" s="139"/>
      <c r="AN170" s="139"/>
      <c r="AO170" s="139"/>
      <c r="AP170" s="139"/>
      <c r="AQ170" s="139"/>
      <c r="AR170" s="139"/>
      <c r="AS170" s="139"/>
      <c r="AT170" s="139"/>
      <c r="AU170" s="139"/>
      <c r="AV170" s="139"/>
      <c r="AW170" s="139"/>
      <c r="AX170" s="139"/>
      <c r="AY170" s="139"/>
      <c r="AZ170" s="445"/>
      <c r="BA170" s="139"/>
      <c r="BB170" s="139"/>
      <c r="BC170" s="139"/>
      <c r="BD170" s="139"/>
      <c r="BE170" s="139"/>
      <c r="BF170" s="139"/>
      <c r="BG170" s="139"/>
      <c r="BH170" s="139"/>
      <c r="BI170" s="139"/>
      <c r="BJ170" s="139"/>
      <c r="BK170" s="139"/>
      <c r="BL170" s="139"/>
      <c r="BM170" s="139"/>
      <c r="BN170" s="139"/>
      <c r="BO170" s="139"/>
      <c r="BP170" s="139"/>
      <c r="BQ170" s="139"/>
      <c r="BR170" s="139"/>
      <c r="BS170" s="139"/>
      <c r="BT170" s="139"/>
      <c r="BU170" s="139"/>
      <c r="BV170" s="139"/>
      <c r="BW170" s="139"/>
      <c r="BX170" s="139"/>
      <c r="BY170" s="139"/>
      <c r="BZ170" s="139"/>
      <c r="CA170" s="139"/>
      <c r="CB170" s="139"/>
      <c r="CC170" s="139"/>
      <c r="CD170" s="140"/>
    </row>
    <row r="172" spans="2:89" x14ac:dyDescent="0.2">
      <c r="B172" s="414"/>
    </row>
    <row r="173" spans="2:89" ht="15" x14ac:dyDescent="0.2">
      <c r="B173" s="446"/>
    </row>
    <row r="174" spans="2:89" x14ac:dyDescent="0.2">
      <c r="C174" s="447"/>
      <c r="D174" s="447"/>
      <c r="E174" s="447"/>
      <c r="F174" s="447"/>
      <c r="G174" s="447"/>
      <c r="H174" s="447"/>
      <c r="I174" s="447"/>
      <c r="J174" s="447"/>
      <c r="K174" s="447"/>
      <c r="L174" s="447"/>
      <c r="M174" s="447"/>
      <c r="N174" s="447"/>
      <c r="O174" s="447"/>
      <c r="P174" s="447"/>
      <c r="Q174" s="447"/>
      <c r="R174" s="447"/>
      <c r="S174" s="447"/>
      <c r="T174" s="447"/>
      <c r="U174" s="447"/>
      <c r="V174" s="447"/>
      <c r="W174" s="447"/>
      <c r="X174" s="447"/>
      <c r="Y174" s="447"/>
      <c r="Z174" s="447"/>
      <c r="AA174" s="447"/>
      <c r="AB174" s="447"/>
      <c r="AC174" s="447"/>
      <c r="AD174" s="447"/>
      <c r="AE174" s="447"/>
      <c r="AF174" s="447"/>
      <c r="AG174" s="447"/>
      <c r="AH174" s="447"/>
      <c r="AI174" s="447"/>
      <c r="AJ174" s="447"/>
      <c r="AK174" s="447"/>
      <c r="AL174" s="447"/>
      <c r="AM174" s="447"/>
      <c r="AN174" s="447"/>
      <c r="AO174" s="447"/>
      <c r="AP174" s="447"/>
      <c r="AQ174" s="447"/>
      <c r="AR174" s="447"/>
      <c r="AS174" s="447"/>
      <c r="AT174" s="447"/>
      <c r="AU174" s="447"/>
      <c r="AV174" s="447"/>
      <c r="AW174" s="447"/>
      <c r="AX174" s="447"/>
      <c r="AY174" s="447"/>
      <c r="AZ174" s="447"/>
      <c r="BA174" s="447"/>
      <c r="BB174" s="447"/>
      <c r="BC174" s="447"/>
      <c r="BD174" s="447"/>
      <c r="BE174" s="447"/>
      <c r="BF174" s="447"/>
      <c r="BG174" s="447"/>
      <c r="BH174" s="447"/>
      <c r="BI174" s="447"/>
      <c r="BJ174" s="447"/>
      <c r="BK174" s="447"/>
      <c r="BL174" s="447"/>
      <c r="BM174" s="447"/>
      <c r="BN174" s="447"/>
      <c r="BO174" s="447"/>
      <c r="BP174" s="447"/>
      <c r="BQ174" s="447"/>
      <c r="BR174" s="447"/>
      <c r="BS174" s="447"/>
      <c r="BT174" s="447"/>
      <c r="BU174" s="447"/>
      <c r="BV174" s="447"/>
      <c r="BW174" s="447"/>
      <c r="BX174" s="447"/>
      <c r="BY174" s="447"/>
      <c r="BZ174" s="447"/>
      <c r="CA174" s="447"/>
      <c r="CB174" s="447"/>
      <c r="CC174" s="447"/>
      <c r="CD174" s="447"/>
      <c r="CG174" s="108"/>
      <c r="CH174" s="108"/>
      <c r="CI174" s="108"/>
      <c r="CJ174" s="108"/>
      <c r="CK174" s="108"/>
    </row>
    <row r="175" spans="2:89" x14ac:dyDescent="0.2">
      <c r="B175" s="448"/>
      <c r="C175" s="141"/>
      <c r="D175" s="131"/>
      <c r="E175" s="131"/>
      <c r="F175" s="131"/>
      <c r="G175" s="131"/>
      <c r="H175" s="131"/>
      <c r="I175" s="131"/>
      <c r="J175" s="131"/>
      <c r="K175" s="142"/>
      <c r="L175" s="131"/>
      <c r="M175" s="131"/>
      <c r="N175" s="131"/>
      <c r="O175" s="131"/>
      <c r="P175" s="131"/>
      <c r="Q175" s="131"/>
      <c r="S175" s="131"/>
      <c r="T175" s="131"/>
      <c r="U175" s="131"/>
      <c r="V175" s="131"/>
      <c r="W175" s="131"/>
      <c r="X175" s="131"/>
      <c r="Y175" s="131"/>
      <c r="Z175" s="131"/>
      <c r="AA175" s="131"/>
      <c r="AB175" s="131"/>
      <c r="AC175" s="131"/>
      <c r="AD175" s="131"/>
      <c r="AE175" s="131"/>
      <c r="AF175" s="131"/>
      <c r="AG175" s="131"/>
      <c r="AH175" s="131"/>
      <c r="AI175" s="131"/>
      <c r="AJ175" s="131"/>
      <c r="AK175" s="131"/>
      <c r="AN175" s="142"/>
      <c r="CG175" s="108"/>
      <c r="CH175" s="108"/>
      <c r="CI175" s="108"/>
      <c r="CJ175" s="108"/>
      <c r="CK175" s="108"/>
    </row>
    <row r="176" spans="2:89" ht="5.25" customHeight="1" x14ac:dyDescent="0.2">
      <c r="B176" s="448"/>
      <c r="CG176" s="108"/>
      <c r="CH176" s="108"/>
      <c r="CI176" s="108"/>
      <c r="CJ176" s="108"/>
      <c r="CK176" s="108"/>
    </row>
    <row r="177" spans="2:89" x14ac:dyDescent="0.2">
      <c r="B177" s="448"/>
      <c r="C177" s="131"/>
      <c r="D177" s="131"/>
      <c r="E177" s="131"/>
      <c r="F177" s="131"/>
      <c r="J177" s="131"/>
      <c r="K177" s="131"/>
      <c r="L177" s="131"/>
      <c r="M177" s="131"/>
      <c r="N177" s="131"/>
      <c r="Q177" s="131"/>
      <c r="R177" s="131"/>
      <c r="S177" s="131"/>
      <c r="T177" s="131"/>
      <c r="U177" s="131"/>
      <c r="V177" s="131"/>
      <c r="W177" s="131"/>
      <c r="X177" s="131"/>
      <c r="Y177" s="131"/>
      <c r="Z177" s="131"/>
      <c r="AA177" s="131"/>
      <c r="AB177" s="131"/>
      <c r="AC177" s="131"/>
      <c r="AD177" s="131"/>
      <c r="AE177" s="131"/>
      <c r="AF177" s="131"/>
      <c r="AG177" s="131"/>
      <c r="AH177" s="131"/>
      <c r="AI177" s="131"/>
      <c r="AJ177" s="131"/>
      <c r="AK177" s="131"/>
      <c r="AL177" s="131"/>
      <c r="AM177" s="131"/>
      <c r="AN177" s="131"/>
      <c r="AO177" s="131"/>
      <c r="AP177" s="131"/>
      <c r="AQ177" s="131"/>
      <c r="AT177" s="131"/>
      <c r="AU177" s="131"/>
      <c r="AV177" s="131"/>
      <c r="AW177" s="131"/>
      <c r="AX177" s="131"/>
      <c r="AY177" s="131"/>
      <c r="AZ177" s="131"/>
      <c r="BA177" s="131"/>
      <c r="CG177" s="108"/>
      <c r="CH177" s="108"/>
      <c r="CI177" s="108"/>
      <c r="CJ177" s="108"/>
      <c r="CK177" s="108"/>
    </row>
    <row r="178" spans="2:89" ht="4.5" customHeight="1" x14ac:dyDescent="0.2">
      <c r="B178" s="449"/>
      <c r="CG178" s="108"/>
      <c r="CH178" s="108"/>
      <c r="CI178" s="108"/>
      <c r="CJ178" s="108"/>
      <c r="CK178" s="108"/>
    </row>
    <row r="179" spans="2:89" x14ac:dyDescent="0.2">
      <c r="B179" s="448"/>
      <c r="C179" s="141"/>
      <c r="D179" s="131"/>
      <c r="G179" s="131"/>
      <c r="H179" s="131"/>
      <c r="I179" s="131"/>
      <c r="J179" s="131"/>
      <c r="O179" s="131"/>
      <c r="P179" s="131"/>
      <c r="Q179" s="131"/>
      <c r="R179" s="131"/>
      <c r="V179" s="131"/>
      <c r="W179" s="131"/>
      <c r="X179" s="131"/>
      <c r="Y179" s="131"/>
      <c r="AA179" s="131"/>
      <c r="AB179" s="131"/>
      <c r="AC179" s="131"/>
      <c r="AL179" s="131"/>
      <c r="AM179" s="131"/>
      <c r="AN179" s="131"/>
      <c r="AO179" s="131"/>
      <c r="AP179" s="131"/>
      <c r="AQ179" s="131"/>
      <c r="AR179" s="131"/>
      <c r="AS179" s="131"/>
      <c r="AT179" s="131"/>
      <c r="AU179" s="131"/>
      <c r="AV179" s="131"/>
      <c r="AW179" s="131"/>
      <c r="AX179" s="131"/>
      <c r="AY179" s="131"/>
      <c r="AZ179" s="131"/>
      <c r="BA179" s="131"/>
      <c r="BB179" s="131"/>
      <c r="BC179" s="131"/>
      <c r="BD179" s="131"/>
      <c r="BE179" s="131"/>
      <c r="BF179" s="131"/>
      <c r="BG179" s="131"/>
      <c r="CG179" s="108"/>
      <c r="CH179" s="108"/>
      <c r="CI179" s="108"/>
      <c r="CJ179" s="108"/>
      <c r="CK179" s="108"/>
    </row>
    <row r="180" spans="2:89" ht="2.25" customHeight="1" x14ac:dyDescent="0.2">
      <c r="B180" s="448"/>
    </row>
    <row r="181" spans="2:89" x14ac:dyDescent="0.2">
      <c r="B181" s="448"/>
      <c r="E181" s="131"/>
      <c r="F181" s="131"/>
      <c r="G181" s="131"/>
      <c r="H181" s="131"/>
      <c r="I181" s="131"/>
      <c r="J181" s="131"/>
      <c r="M181" s="131"/>
      <c r="N181" s="131"/>
      <c r="O181" s="131"/>
      <c r="P181" s="131"/>
      <c r="Q181" s="131"/>
      <c r="R181" s="131"/>
      <c r="S181" s="131"/>
      <c r="T181" s="131"/>
      <c r="U181" s="131"/>
      <c r="V181" s="131"/>
      <c r="W181" s="131"/>
      <c r="X181" s="131"/>
      <c r="Y181" s="131"/>
      <c r="Z181" s="131"/>
      <c r="AA181" s="131"/>
      <c r="AB181" s="131"/>
      <c r="AC181" s="131"/>
      <c r="AD181" s="131"/>
      <c r="AE181" s="131"/>
      <c r="AF181" s="131"/>
      <c r="AG181" s="131"/>
      <c r="AH181" s="131"/>
      <c r="AI181" s="131"/>
      <c r="AJ181" s="131"/>
      <c r="AK181" s="131"/>
      <c r="AL181" s="131"/>
      <c r="AM181" s="131"/>
      <c r="AN181" s="131"/>
      <c r="AO181" s="131"/>
      <c r="AP181" s="131"/>
      <c r="AQ181" s="131"/>
      <c r="AT181" s="131"/>
      <c r="AU181" s="131"/>
      <c r="AV181" s="131"/>
      <c r="AW181" s="131"/>
      <c r="AX181" s="131"/>
      <c r="AY181" s="131"/>
      <c r="AZ181" s="131"/>
      <c r="BA181" s="131"/>
      <c r="BB181" s="131"/>
      <c r="BC181" s="131"/>
      <c r="BD181" s="131"/>
      <c r="BE181" s="131"/>
      <c r="BF181" s="131"/>
      <c r="BG181" s="131"/>
    </row>
    <row r="182" spans="2:89" ht="3" customHeight="1" x14ac:dyDescent="0.2">
      <c r="B182" s="448"/>
    </row>
    <row r="183" spans="2:89" x14ac:dyDescent="0.2">
      <c r="B183" s="448"/>
      <c r="C183" s="131"/>
      <c r="D183" s="131"/>
      <c r="K183" s="131"/>
      <c r="L183" s="131"/>
      <c r="Q183" s="131"/>
      <c r="R183" s="131"/>
      <c r="S183" s="131"/>
      <c r="T183" s="131"/>
      <c r="U183" s="131"/>
      <c r="V183" s="131"/>
      <c r="W183" s="131"/>
      <c r="X183" s="131"/>
      <c r="Y183" s="131"/>
      <c r="Z183" s="131"/>
      <c r="AA183" s="131"/>
      <c r="AB183" s="131"/>
      <c r="AC183" s="131"/>
      <c r="AD183" s="131"/>
      <c r="AE183" s="131"/>
      <c r="AF183" s="131"/>
      <c r="AG183" s="131"/>
      <c r="AH183" s="131"/>
      <c r="AI183" s="131"/>
      <c r="AJ183" s="131"/>
      <c r="AK183" s="131"/>
      <c r="AL183" s="131"/>
      <c r="AM183" s="131"/>
      <c r="AN183" s="131"/>
      <c r="AO183" s="131"/>
      <c r="AP183" s="131"/>
      <c r="AQ183" s="131"/>
      <c r="AT183" s="131"/>
      <c r="AU183" s="131"/>
      <c r="AV183" s="131"/>
      <c r="AW183" s="131"/>
      <c r="AX183" s="131"/>
      <c r="AY183" s="131"/>
      <c r="AZ183" s="131"/>
      <c r="BA183" s="131"/>
    </row>
    <row r="184" spans="2:89" ht="1.5" customHeight="1" x14ac:dyDescent="0.2">
      <c r="B184" s="448"/>
    </row>
    <row r="185" spans="2:89" x14ac:dyDescent="0.2">
      <c r="B185" s="448"/>
      <c r="E185" s="131"/>
      <c r="F185" s="131"/>
      <c r="G185" s="131"/>
      <c r="H185" s="131"/>
      <c r="L185" s="131"/>
      <c r="M185" s="131"/>
      <c r="N185" s="131"/>
      <c r="O185" s="131"/>
      <c r="P185" s="131"/>
      <c r="Q185" s="131"/>
      <c r="R185" s="131"/>
      <c r="S185" s="131"/>
      <c r="U185" s="131"/>
      <c r="V185" s="131"/>
      <c r="W185" s="131"/>
      <c r="X185" s="131"/>
      <c r="Y185" s="131"/>
      <c r="Z185" s="131"/>
      <c r="AA185" s="131"/>
      <c r="AB185" s="131"/>
      <c r="AG185" s="131"/>
      <c r="AH185" s="131"/>
      <c r="AI185" s="131"/>
      <c r="AJ185" s="131"/>
      <c r="AK185" s="131"/>
      <c r="AL185" s="131"/>
      <c r="AM185" s="131"/>
      <c r="AN185" s="131"/>
      <c r="AO185" s="131"/>
      <c r="AP185" s="131"/>
      <c r="AQ185" s="131"/>
      <c r="AT185" s="131"/>
      <c r="AU185" s="131"/>
      <c r="AV185" s="131"/>
      <c r="AW185" s="131"/>
      <c r="AX185" s="131"/>
      <c r="AY185" s="131"/>
      <c r="AZ185" s="131"/>
      <c r="BA185" s="131"/>
    </row>
    <row r="186" spans="2:89" ht="2.25" customHeight="1" x14ac:dyDescent="0.2">
      <c r="B186" s="449"/>
    </row>
    <row r="187" spans="2:89" x14ac:dyDescent="0.2">
      <c r="B187" s="448"/>
      <c r="C187" s="131"/>
      <c r="D187" s="131"/>
      <c r="E187" s="131"/>
      <c r="J187" s="131"/>
      <c r="K187" s="131"/>
      <c r="O187" s="131"/>
      <c r="P187" s="131"/>
      <c r="Q187" s="131"/>
      <c r="S187" s="131"/>
      <c r="T187" s="131"/>
      <c r="U187" s="131"/>
      <c r="V187" s="131"/>
      <c r="W187" s="131"/>
      <c r="X187" s="131"/>
      <c r="Y187" s="131"/>
      <c r="AD187" s="131"/>
      <c r="AE187" s="131"/>
      <c r="AF187" s="131"/>
      <c r="AL187" s="131"/>
      <c r="AM187" s="131"/>
      <c r="AN187" s="131"/>
      <c r="AO187" s="131"/>
      <c r="AP187" s="131"/>
      <c r="AQ187" s="131"/>
      <c r="AR187" s="131"/>
      <c r="AS187" s="131"/>
      <c r="AT187" s="131"/>
      <c r="AU187" s="131"/>
      <c r="AV187" s="131"/>
      <c r="AW187" s="131"/>
      <c r="AX187" s="131"/>
      <c r="AY187" s="131"/>
      <c r="AZ187" s="131"/>
      <c r="BA187" s="131"/>
      <c r="BB187" s="131"/>
      <c r="BC187" s="131"/>
      <c r="BD187" s="131"/>
      <c r="BF187" s="131"/>
      <c r="BG187" s="131"/>
    </row>
    <row r="188" spans="2:89" ht="0.75" customHeight="1" x14ac:dyDescent="0.2">
      <c r="B188" s="449"/>
    </row>
    <row r="189" spans="2:89" x14ac:dyDescent="0.2">
      <c r="B189" s="448"/>
      <c r="C189" s="141"/>
      <c r="D189" s="131"/>
      <c r="E189" s="131"/>
      <c r="F189" s="131"/>
      <c r="G189" s="131"/>
      <c r="H189" s="131"/>
      <c r="M189" s="131"/>
      <c r="N189" s="131"/>
      <c r="O189" s="131"/>
      <c r="P189" s="131"/>
      <c r="Q189" s="131"/>
      <c r="R189" s="131"/>
      <c r="S189" s="131"/>
      <c r="U189" s="131"/>
      <c r="V189" s="131"/>
      <c r="W189" s="131"/>
      <c r="X189" s="131"/>
      <c r="Y189" s="131"/>
      <c r="Z189" s="131"/>
      <c r="AA189" s="131"/>
      <c r="AB189" s="131"/>
      <c r="AD189" s="131"/>
      <c r="AE189" s="131"/>
      <c r="AF189" s="131"/>
      <c r="AG189" s="131"/>
      <c r="AH189" s="131"/>
      <c r="AL189" s="131"/>
      <c r="AM189" s="131"/>
      <c r="AN189" s="131"/>
      <c r="AO189" s="131"/>
      <c r="AP189" s="131"/>
      <c r="AQ189" s="131"/>
      <c r="AR189" s="131"/>
      <c r="AS189" s="131"/>
      <c r="AT189" s="131"/>
      <c r="AU189" s="131"/>
      <c r="AV189" s="131"/>
      <c r="AX189" s="131"/>
      <c r="AY189" s="131"/>
      <c r="AZ189" s="131"/>
      <c r="BA189" s="131"/>
      <c r="BB189" s="131"/>
      <c r="BC189" s="131"/>
      <c r="BD189" s="131"/>
    </row>
    <row r="190" spans="2:89" ht="3" customHeight="1" x14ac:dyDescent="0.2">
      <c r="B190" s="449"/>
    </row>
    <row r="191" spans="2:89" ht="12" customHeight="1" x14ac:dyDescent="0.2">
      <c r="B191" s="448"/>
      <c r="C191" s="131"/>
      <c r="D191" s="131"/>
      <c r="J191" s="131"/>
      <c r="K191" s="131"/>
      <c r="L191" s="131"/>
      <c r="Q191" s="131"/>
      <c r="S191" s="131"/>
      <c r="T191" s="131"/>
      <c r="U191" s="131"/>
      <c r="V191" s="131"/>
      <c r="W191" s="131"/>
      <c r="X191" s="131"/>
      <c r="Y191" s="131"/>
      <c r="Z191" s="131"/>
      <c r="AA191" s="131"/>
      <c r="AB191" s="131"/>
      <c r="AC191" s="131"/>
      <c r="AD191" s="131"/>
      <c r="AE191" s="131"/>
      <c r="AF191" s="131"/>
      <c r="AG191" s="131"/>
      <c r="AH191" s="131"/>
      <c r="AI191" s="131"/>
      <c r="AJ191" s="131"/>
      <c r="AK191" s="131"/>
      <c r="AL191" s="131"/>
      <c r="AM191" s="131"/>
      <c r="AN191" s="131"/>
      <c r="AO191" s="131"/>
      <c r="AP191" s="131"/>
      <c r="AQ191" s="131"/>
      <c r="AR191" s="131"/>
      <c r="AV191" s="131"/>
      <c r="AW191" s="131"/>
      <c r="AX191" s="131"/>
      <c r="AY191" s="131"/>
      <c r="AZ191" s="131"/>
      <c r="BA191" s="131"/>
    </row>
    <row r="192" spans="2:89" ht="3" customHeight="1" x14ac:dyDescent="0.2">
      <c r="B192" s="449"/>
    </row>
    <row r="193" spans="2:59" x14ac:dyDescent="0.2">
      <c r="B193" s="448"/>
      <c r="F193" s="131"/>
      <c r="G193" s="131"/>
      <c r="H193" s="131"/>
      <c r="I193" s="131"/>
      <c r="M193" s="131"/>
      <c r="N193" s="131"/>
      <c r="O193" s="131"/>
      <c r="P193" s="131"/>
      <c r="Q193" s="131"/>
      <c r="R193" s="131"/>
      <c r="V193" s="131"/>
      <c r="W193" s="131"/>
      <c r="X193" s="131"/>
      <c r="Y193" s="131"/>
      <c r="Z193" s="131"/>
      <c r="AA193" s="131"/>
      <c r="AD193" s="131"/>
      <c r="AE193" s="131"/>
      <c r="AF193" s="131"/>
      <c r="AG193" s="131"/>
      <c r="AH193" s="131"/>
      <c r="AI193" s="131"/>
      <c r="AJ193" s="131"/>
      <c r="AN193" s="131"/>
      <c r="AO193" s="131"/>
      <c r="AP193" s="131"/>
      <c r="AQ193" s="131"/>
      <c r="AR193" s="131"/>
      <c r="AS193" s="131"/>
      <c r="AT193" s="131"/>
      <c r="AU193" s="131"/>
      <c r="AV193" s="131"/>
      <c r="AW193" s="131"/>
      <c r="AX193" s="131"/>
      <c r="AY193" s="131"/>
      <c r="AZ193" s="131"/>
      <c r="BA193" s="131"/>
    </row>
    <row r="194" spans="2:59" ht="0.75" customHeight="1" x14ac:dyDescent="0.2">
      <c r="B194" s="449"/>
    </row>
    <row r="195" spans="2:59" x14ac:dyDescent="0.2">
      <c r="B195" s="448"/>
      <c r="C195" s="131"/>
      <c r="D195" s="131"/>
      <c r="E195" s="131"/>
      <c r="K195" s="131"/>
      <c r="L195" s="131"/>
      <c r="S195" s="131"/>
      <c r="T195" s="131"/>
      <c r="U195" s="131"/>
      <c r="V195" s="131"/>
      <c r="W195" s="131"/>
      <c r="X195" s="131"/>
      <c r="AA195" s="131"/>
      <c r="AB195" s="131"/>
      <c r="AC195" s="131"/>
      <c r="AD195" s="131"/>
      <c r="AE195" s="131"/>
      <c r="AF195" s="131"/>
      <c r="AJ195" s="131"/>
      <c r="AK195" s="131"/>
      <c r="AL195" s="131"/>
      <c r="AM195" s="131"/>
      <c r="AN195" s="131"/>
      <c r="AO195" s="131"/>
      <c r="AP195" s="131"/>
      <c r="AQ195" s="450"/>
      <c r="AT195" s="131"/>
      <c r="AU195" s="131"/>
      <c r="AV195" s="131"/>
      <c r="AW195" s="131"/>
      <c r="AX195" s="131"/>
      <c r="AY195" s="131"/>
      <c r="AZ195" s="131"/>
      <c r="BA195" s="131"/>
      <c r="BE195" s="131"/>
      <c r="BF195" s="131"/>
      <c r="BG195" s="131"/>
    </row>
    <row r="196" spans="2:59" ht="2.25" customHeight="1" x14ac:dyDescent="0.2">
      <c r="B196" s="449"/>
    </row>
    <row r="197" spans="2:59" x14ac:dyDescent="0.2">
      <c r="B197" s="448"/>
      <c r="C197" s="141"/>
      <c r="D197" s="131"/>
      <c r="K197" s="131"/>
      <c r="L197" s="131"/>
      <c r="W197" s="131"/>
      <c r="X197" s="131"/>
      <c r="Y197" s="131"/>
      <c r="Z197" s="131"/>
      <c r="AA197" s="131"/>
      <c r="AB197" s="131"/>
      <c r="AC197" s="131"/>
      <c r="AF197" s="131"/>
      <c r="AG197" s="131"/>
      <c r="AH197" s="131"/>
      <c r="AI197" s="131"/>
      <c r="AJ197" s="131"/>
      <c r="AK197" s="131"/>
      <c r="AL197" s="131"/>
      <c r="AM197" s="131"/>
      <c r="AN197" s="131"/>
      <c r="AO197" s="131"/>
      <c r="AP197" s="131"/>
      <c r="AQ197" s="131"/>
      <c r="AR197" s="131"/>
      <c r="AS197" s="131"/>
      <c r="AT197" s="131"/>
      <c r="AU197" s="131"/>
      <c r="AY197" s="131"/>
      <c r="AZ197" s="131"/>
      <c r="BA197" s="131"/>
      <c r="BB197" s="131"/>
      <c r="BC197" s="131"/>
      <c r="BD197" s="131"/>
    </row>
    <row r="198" spans="2:59" ht="0.75" customHeight="1" x14ac:dyDescent="0.2">
      <c r="B198" s="449"/>
    </row>
    <row r="199" spans="2:59" x14ac:dyDescent="0.2">
      <c r="B199" s="448"/>
      <c r="E199" s="131"/>
      <c r="I199" s="131"/>
      <c r="J199" s="131"/>
      <c r="T199" s="131"/>
      <c r="U199" s="131"/>
      <c r="V199" s="131"/>
      <c r="Z199" s="131"/>
      <c r="AC199" s="131"/>
      <c r="AD199" s="131"/>
      <c r="AE199" s="131"/>
      <c r="AF199" s="131"/>
      <c r="AG199" s="131"/>
      <c r="AH199" s="131"/>
      <c r="AI199" s="131"/>
      <c r="AJ199" s="131"/>
      <c r="AK199" s="131"/>
      <c r="AN199" s="131"/>
      <c r="AO199" s="131"/>
      <c r="AP199" s="131"/>
      <c r="AV199" s="131"/>
      <c r="AW199" s="131"/>
      <c r="AX199" s="131"/>
      <c r="AY199" s="131"/>
      <c r="AZ199" s="131"/>
      <c r="BA199" s="131"/>
      <c r="BB199" s="131"/>
      <c r="BC199" s="131"/>
      <c r="BD199" s="131"/>
    </row>
    <row r="200" spans="2:59" ht="0.75" customHeight="1" x14ac:dyDescent="0.2">
      <c r="B200" s="449"/>
    </row>
    <row r="201" spans="2:59" x14ac:dyDescent="0.2">
      <c r="B201" s="449"/>
      <c r="Q201" s="131"/>
      <c r="R201" s="131"/>
      <c r="S201" s="131"/>
      <c r="T201" s="131"/>
      <c r="U201" s="131"/>
      <c r="V201" s="131"/>
      <c r="W201" s="131"/>
      <c r="X201" s="131"/>
      <c r="Y201" s="131"/>
      <c r="Z201" s="131"/>
      <c r="AA201" s="131"/>
      <c r="AB201" s="131"/>
      <c r="AC201" s="131"/>
      <c r="AD201" s="131"/>
      <c r="AE201" s="131"/>
      <c r="AF201" s="131"/>
      <c r="AG201" s="131"/>
      <c r="AH201" s="131"/>
      <c r="AI201" s="131"/>
      <c r="AJ201" s="131"/>
      <c r="AK201" s="131"/>
      <c r="AL201" s="131"/>
      <c r="AM201" s="131"/>
      <c r="AN201" s="131"/>
      <c r="AO201" s="131"/>
      <c r="AP201" s="131"/>
      <c r="AQ201" s="131"/>
      <c r="AT201" s="131"/>
      <c r="AU201" s="131"/>
      <c r="AV201" s="131"/>
      <c r="AW201" s="131"/>
      <c r="AX201" s="131"/>
      <c r="AY201" s="131"/>
      <c r="AZ201" s="131"/>
      <c r="BA201" s="131"/>
    </row>
    <row r="202" spans="2:59" ht="3.75" customHeight="1" x14ac:dyDescent="0.2">
      <c r="B202" s="449"/>
    </row>
    <row r="203" spans="2:59" x14ac:dyDescent="0.2">
      <c r="B203" s="449"/>
      <c r="C203" s="141"/>
      <c r="D203" s="131"/>
      <c r="E203" s="131"/>
      <c r="O203" s="131"/>
      <c r="P203" s="131"/>
      <c r="Q203" s="131"/>
      <c r="R203" s="131"/>
      <c r="S203" s="131"/>
      <c r="T203" s="131"/>
      <c r="U203" s="131"/>
      <c r="V203" s="131"/>
      <c r="W203" s="131"/>
      <c r="X203" s="131"/>
      <c r="Y203" s="131"/>
      <c r="Z203" s="131"/>
      <c r="AA203" s="131"/>
      <c r="AL203" s="131"/>
      <c r="AM203" s="131"/>
      <c r="AN203" s="131"/>
      <c r="AO203" s="131"/>
      <c r="AP203" s="131"/>
      <c r="AQ203" s="131"/>
      <c r="AR203" s="131"/>
      <c r="AS203" s="131"/>
      <c r="AT203" s="131"/>
      <c r="AU203" s="131"/>
      <c r="AV203" s="131"/>
      <c r="AW203" s="131"/>
      <c r="AX203" s="131"/>
      <c r="AY203" s="131"/>
      <c r="AZ203" s="131"/>
      <c r="BA203" s="131"/>
      <c r="BB203" s="131"/>
      <c r="BC203" s="131"/>
      <c r="BD203" s="131"/>
      <c r="BE203" s="131"/>
      <c r="BF203" s="131"/>
      <c r="BG203" s="131"/>
    </row>
    <row r="204" spans="2:59" ht="2.25" customHeight="1" x14ac:dyDescent="0.2">
      <c r="B204" s="449"/>
    </row>
    <row r="205" spans="2:59" ht="11.25" customHeight="1" x14ac:dyDescent="0.2">
      <c r="B205" s="449"/>
      <c r="C205" s="141"/>
      <c r="D205" s="131"/>
      <c r="E205" s="131"/>
      <c r="O205" s="131"/>
      <c r="P205" s="131"/>
      <c r="Q205" s="131"/>
      <c r="R205" s="131"/>
      <c r="S205" s="131"/>
      <c r="T205" s="131"/>
      <c r="U205" s="131"/>
      <c r="V205" s="131"/>
      <c r="W205" s="131"/>
      <c r="X205" s="131"/>
      <c r="Y205" s="131"/>
      <c r="Z205" s="131"/>
      <c r="AA205" s="131"/>
      <c r="AL205" s="131"/>
      <c r="AM205" s="131"/>
      <c r="AN205" s="131"/>
      <c r="AO205" s="131"/>
      <c r="AP205" s="131"/>
      <c r="AQ205" s="131"/>
      <c r="AR205" s="131"/>
      <c r="AS205" s="131"/>
      <c r="AT205" s="131"/>
      <c r="AU205" s="131"/>
      <c r="AV205" s="131"/>
      <c r="AW205" s="131"/>
      <c r="AX205" s="131"/>
      <c r="AY205" s="131"/>
      <c r="AZ205" s="131"/>
      <c r="BA205" s="131"/>
      <c r="BB205" s="131"/>
      <c r="BC205" s="131"/>
      <c r="BD205" s="131"/>
      <c r="BE205" s="131"/>
      <c r="BF205" s="131"/>
      <c r="BG205" s="131"/>
    </row>
    <row r="206" spans="2:59" hidden="1" x14ac:dyDescent="0.2">
      <c r="B206" s="449"/>
    </row>
    <row r="207" spans="2:59" x14ac:dyDescent="0.2">
      <c r="B207" s="449"/>
      <c r="Q207" s="131"/>
      <c r="R207" s="131"/>
      <c r="S207" s="131"/>
      <c r="T207" s="131"/>
      <c r="U207" s="131"/>
      <c r="V207" s="131"/>
      <c r="W207" s="131"/>
      <c r="X207" s="131"/>
      <c r="Y207" s="131"/>
      <c r="Z207" s="131"/>
      <c r="AA207" s="131"/>
      <c r="AB207" s="131"/>
      <c r="AC207" s="131"/>
      <c r="AD207" s="131"/>
      <c r="AE207" s="131"/>
      <c r="AF207" s="131"/>
      <c r="AG207" s="131"/>
      <c r="AH207" s="131"/>
      <c r="AI207" s="131"/>
      <c r="AJ207" s="131"/>
      <c r="AK207" s="131"/>
      <c r="AL207" s="131"/>
      <c r="AM207" s="131"/>
      <c r="AN207" s="131"/>
      <c r="AO207" s="131"/>
      <c r="AP207" s="131"/>
      <c r="AQ207" s="131"/>
      <c r="AT207" s="131"/>
      <c r="AU207" s="131"/>
      <c r="AV207" s="131"/>
      <c r="AW207" s="131"/>
      <c r="AX207" s="131"/>
      <c r="AY207" s="131"/>
      <c r="AZ207" s="131"/>
      <c r="BA207" s="131"/>
    </row>
    <row r="208" spans="2:59" ht="6" customHeight="1" x14ac:dyDescent="0.2">
      <c r="B208" s="449"/>
    </row>
  </sheetData>
  <sheetProtection formatCells="0" formatColumns="0" formatRows="0" insertColumns="0" insertRows="0" deleteColumns="0" deleteRows="0"/>
  <mergeCells count="1">
    <mergeCell ref="Y76:CD76"/>
  </mergeCells>
  <phoneticPr fontId="29" type="noConversion"/>
  <pageMargins left="0.78740157480314965" right="0.78740157480314965" top="0.59055118110236227" bottom="0.39370078740157483" header="0.51181102362204722" footer="0.51181102362204722"/>
  <pageSetup scale="44" orientation="landscape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P26"/>
  <sheetViews>
    <sheetView zoomScaleNormal="100" workbookViewId="0">
      <selection activeCell="J39" sqref="J38:J39"/>
    </sheetView>
  </sheetViews>
  <sheetFormatPr baseColWidth="10" defaultColWidth="11.42578125" defaultRowHeight="12.75" x14ac:dyDescent="0.2"/>
  <cols>
    <col min="1" max="1" width="4.28515625" customWidth="1"/>
    <col min="2" max="16" width="7.7109375" customWidth="1"/>
  </cols>
  <sheetData>
    <row r="1" spans="1:16" ht="18.75" x14ac:dyDescent="0.3">
      <c r="A1" s="109" t="s">
        <v>213</v>
      </c>
    </row>
    <row r="2" spans="1:16" ht="20.100000000000001" customHeight="1" x14ac:dyDescent="0.25">
      <c r="B2" s="110"/>
      <c r="C2" s="111" t="s">
        <v>13</v>
      </c>
      <c r="D2" s="112" t="s">
        <v>14</v>
      </c>
      <c r="E2" s="112" t="s">
        <v>15</v>
      </c>
      <c r="F2" s="112" t="s">
        <v>16</v>
      </c>
      <c r="G2" s="112" t="s">
        <v>19</v>
      </c>
      <c r="H2" s="112" t="s">
        <v>20</v>
      </c>
      <c r="I2" s="112" t="s">
        <v>21</v>
      </c>
      <c r="J2" s="112" t="s">
        <v>22</v>
      </c>
      <c r="K2" s="112" t="s">
        <v>23</v>
      </c>
      <c r="L2" s="112" t="s">
        <v>24</v>
      </c>
      <c r="M2" s="112" t="s">
        <v>25</v>
      </c>
      <c r="N2" s="112" t="s">
        <v>26</v>
      </c>
      <c r="O2" s="112" t="s">
        <v>28</v>
      </c>
      <c r="P2" s="113" t="s">
        <v>29</v>
      </c>
    </row>
    <row r="3" spans="1:16" ht="20.100000000000001" customHeight="1" x14ac:dyDescent="0.2">
      <c r="B3" s="114" t="s">
        <v>9</v>
      </c>
      <c r="C3" s="97">
        <v>0</v>
      </c>
      <c r="D3" s="98">
        <v>2</v>
      </c>
      <c r="E3" s="98">
        <v>2.5</v>
      </c>
      <c r="F3" s="98">
        <v>3</v>
      </c>
      <c r="G3" s="98">
        <v>1.5</v>
      </c>
      <c r="H3" s="98">
        <v>2</v>
      </c>
      <c r="I3" s="98">
        <v>0</v>
      </c>
      <c r="J3" s="98">
        <v>0</v>
      </c>
      <c r="K3" s="98">
        <v>2</v>
      </c>
      <c r="L3" s="98">
        <v>0</v>
      </c>
      <c r="M3" s="98">
        <v>1.5</v>
      </c>
      <c r="N3" s="98">
        <v>0</v>
      </c>
      <c r="O3" s="98">
        <v>0</v>
      </c>
      <c r="P3" s="99">
        <v>0</v>
      </c>
    </row>
    <row r="4" spans="1:16" ht="20.100000000000001" customHeight="1" x14ac:dyDescent="0.2">
      <c r="B4" s="114" t="s">
        <v>10</v>
      </c>
      <c r="C4" s="100">
        <v>4</v>
      </c>
      <c r="D4" s="101">
        <v>0</v>
      </c>
      <c r="E4" s="101">
        <v>0</v>
      </c>
      <c r="F4" s="101">
        <v>2.5</v>
      </c>
      <c r="G4" s="101">
        <v>0</v>
      </c>
      <c r="H4" s="101">
        <v>3.5</v>
      </c>
      <c r="I4" s="101">
        <v>0</v>
      </c>
      <c r="J4" s="101">
        <v>0</v>
      </c>
      <c r="K4" s="101">
        <v>0</v>
      </c>
      <c r="L4" s="101">
        <v>0</v>
      </c>
      <c r="M4" s="101">
        <v>0</v>
      </c>
      <c r="N4" s="101">
        <v>3</v>
      </c>
      <c r="O4" s="101">
        <v>0</v>
      </c>
      <c r="P4" s="102">
        <v>0</v>
      </c>
    </row>
    <row r="5" spans="1:16" ht="20.100000000000001" customHeight="1" x14ac:dyDescent="0.2">
      <c r="B5" s="114" t="s">
        <v>11</v>
      </c>
      <c r="C5" s="100">
        <v>2</v>
      </c>
      <c r="D5" s="101">
        <v>2.5</v>
      </c>
      <c r="E5" s="101">
        <v>3.5</v>
      </c>
      <c r="F5" s="101">
        <v>0</v>
      </c>
      <c r="G5" s="101">
        <v>3</v>
      </c>
      <c r="H5" s="101">
        <v>0</v>
      </c>
      <c r="I5" s="101">
        <v>3</v>
      </c>
      <c r="J5" s="101">
        <v>2</v>
      </c>
      <c r="K5" s="101">
        <v>3</v>
      </c>
      <c r="L5" s="101">
        <v>2.5</v>
      </c>
      <c r="M5" s="101">
        <v>2</v>
      </c>
      <c r="N5" s="101">
        <v>0</v>
      </c>
      <c r="O5" s="101">
        <v>1.5</v>
      </c>
      <c r="P5" s="102">
        <v>2</v>
      </c>
    </row>
    <row r="6" spans="1:16" ht="20.100000000000001" customHeight="1" x14ac:dyDescent="0.2">
      <c r="B6" s="114" t="s">
        <v>12</v>
      </c>
      <c r="C6" s="103">
        <v>0</v>
      </c>
      <c r="D6" s="104">
        <v>3</v>
      </c>
      <c r="E6" s="104">
        <v>3</v>
      </c>
      <c r="F6" s="104">
        <v>0</v>
      </c>
      <c r="G6" s="104">
        <v>0</v>
      </c>
      <c r="H6" s="104">
        <v>3</v>
      </c>
      <c r="I6" s="104">
        <v>2</v>
      </c>
      <c r="J6" s="104">
        <v>1</v>
      </c>
      <c r="K6" s="104">
        <v>3</v>
      </c>
      <c r="L6" s="104">
        <v>3</v>
      </c>
      <c r="M6" s="104">
        <v>0</v>
      </c>
      <c r="N6" s="104">
        <v>2.5</v>
      </c>
      <c r="O6" s="104">
        <v>2</v>
      </c>
      <c r="P6" s="105">
        <v>3</v>
      </c>
    </row>
    <row r="7" spans="1:16" ht="15" customHeight="1" x14ac:dyDescent="0.2">
      <c r="B7" s="114" t="s">
        <v>1</v>
      </c>
      <c r="C7" s="106">
        <f>SUM(C3:C6)</f>
        <v>6</v>
      </c>
      <c r="D7" s="106">
        <f t="shared" ref="D7:P7" si="0">SUM(D3:D6)</f>
        <v>7.5</v>
      </c>
      <c r="E7" s="106">
        <f t="shared" si="0"/>
        <v>9</v>
      </c>
      <c r="F7" s="106">
        <f t="shared" si="0"/>
        <v>5.5</v>
      </c>
      <c r="G7" s="106">
        <f t="shared" si="0"/>
        <v>4.5</v>
      </c>
      <c r="H7" s="106">
        <f t="shared" si="0"/>
        <v>8.5</v>
      </c>
      <c r="I7" s="106">
        <f t="shared" si="0"/>
        <v>5</v>
      </c>
      <c r="J7" s="106">
        <f t="shared" si="0"/>
        <v>3</v>
      </c>
      <c r="K7" s="106">
        <f t="shared" si="0"/>
        <v>8</v>
      </c>
      <c r="L7" s="106">
        <f t="shared" si="0"/>
        <v>5.5</v>
      </c>
      <c r="M7" s="106">
        <f t="shared" si="0"/>
        <v>3.5</v>
      </c>
      <c r="N7" s="106">
        <f t="shared" si="0"/>
        <v>5.5</v>
      </c>
      <c r="O7" s="106">
        <f t="shared" si="0"/>
        <v>3.5</v>
      </c>
      <c r="P7" s="106">
        <f t="shared" si="0"/>
        <v>5</v>
      </c>
    </row>
    <row r="8" spans="1:16" ht="20.100000000000001" customHeight="1" x14ac:dyDescent="0.2">
      <c r="B8" s="114" t="s">
        <v>2</v>
      </c>
      <c r="C8" s="97">
        <v>4</v>
      </c>
      <c r="D8" s="97">
        <f>SUM(D3:D5)</f>
        <v>4.5</v>
      </c>
      <c r="E8" s="97">
        <f t="shared" ref="E8:P8" si="1">SUM(E3:E5)</f>
        <v>6</v>
      </c>
      <c r="F8" s="97">
        <v>3</v>
      </c>
      <c r="G8" s="97">
        <v>1.5</v>
      </c>
      <c r="H8" s="97">
        <f t="shared" si="1"/>
        <v>5.5</v>
      </c>
      <c r="I8" s="97">
        <f t="shared" si="1"/>
        <v>3</v>
      </c>
      <c r="J8" s="97">
        <f t="shared" si="1"/>
        <v>2</v>
      </c>
      <c r="K8" s="97">
        <f t="shared" si="1"/>
        <v>5</v>
      </c>
      <c r="L8" s="97">
        <f t="shared" si="1"/>
        <v>2.5</v>
      </c>
      <c r="M8" s="97">
        <v>1.5</v>
      </c>
      <c r="N8" s="97">
        <f t="shared" si="1"/>
        <v>3</v>
      </c>
      <c r="O8" s="97">
        <f t="shared" si="1"/>
        <v>1.5</v>
      </c>
      <c r="P8" s="97">
        <f t="shared" si="1"/>
        <v>2</v>
      </c>
    </row>
    <row r="9" spans="1:16" ht="20.100000000000001" customHeight="1" x14ac:dyDescent="0.2">
      <c r="B9" s="114" t="s">
        <v>3</v>
      </c>
      <c r="C9" s="103">
        <v>2</v>
      </c>
      <c r="D9" s="103">
        <f t="shared" ref="D9:M9" si="2">SUM(D4:D6)</f>
        <v>5.5</v>
      </c>
      <c r="E9" s="103">
        <f t="shared" si="2"/>
        <v>6.5</v>
      </c>
      <c r="F9" s="103">
        <f t="shared" si="2"/>
        <v>2.5</v>
      </c>
      <c r="G9" s="103">
        <f t="shared" si="2"/>
        <v>3</v>
      </c>
      <c r="H9" s="103">
        <f t="shared" si="2"/>
        <v>6.5</v>
      </c>
      <c r="I9" s="103">
        <v>2</v>
      </c>
      <c r="J9" s="103">
        <v>1</v>
      </c>
      <c r="K9" s="103">
        <f t="shared" si="2"/>
        <v>6</v>
      </c>
      <c r="L9" s="103">
        <v>3</v>
      </c>
      <c r="M9" s="103">
        <f t="shared" si="2"/>
        <v>2</v>
      </c>
      <c r="N9" s="103">
        <v>2.5</v>
      </c>
      <c r="O9" s="103">
        <v>2</v>
      </c>
      <c r="P9" s="103">
        <v>3</v>
      </c>
    </row>
    <row r="10" spans="1:16" ht="20.100000000000001" customHeight="1" x14ac:dyDescent="0.2">
      <c r="B10" s="114" t="s">
        <v>4</v>
      </c>
      <c r="C10" s="107">
        <f>C8/C9</f>
        <v>2</v>
      </c>
      <c r="D10" s="107">
        <f t="shared" ref="D10:P10" si="3">D8/D9</f>
        <v>0.81818181818181823</v>
      </c>
      <c r="E10" s="107">
        <f t="shared" si="3"/>
        <v>0.92307692307692313</v>
      </c>
      <c r="F10" s="107">
        <f t="shared" si="3"/>
        <v>1.2</v>
      </c>
      <c r="G10" s="107">
        <f t="shared" si="3"/>
        <v>0.5</v>
      </c>
      <c r="H10" s="107">
        <f t="shared" si="3"/>
        <v>0.84615384615384615</v>
      </c>
      <c r="I10" s="107">
        <f t="shared" si="3"/>
        <v>1.5</v>
      </c>
      <c r="J10" s="107">
        <f t="shared" si="3"/>
        <v>2</v>
      </c>
      <c r="K10" s="107">
        <f t="shared" si="3"/>
        <v>0.83333333333333337</v>
      </c>
      <c r="L10" s="107">
        <f t="shared" si="3"/>
        <v>0.83333333333333337</v>
      </c>
      <c r="M10" s="107">
        <f t="shared" si="3"/>
        <v>0.75</v>
      </c>
      <c r="N10" s="107">
        <f t="shared" si="3"/>
        <v>1.2</v>
      </c>
      <c r="O10" s="107">
        <f t="shared" si="3"/>
        <v>0.75</v>
      </c>
      <c r="P10" s="107">
        <f t="shared" si="3"/>
        <v>0.66666666666666663</v>
      </c>
    </row>
    <row r="12" spans="1:16" x14ac:dyDescent="0.2">
      <c r="A12" s="115" t="s">
        <v>59</v>
      </c>
      <c r="B12" s="116" t="s">
        <v>175</v>
      </c>
      <c r="K12" s="117" t="s">
        <v>174</v>
      </c>
    </row>
    <row r="13" spans="1:16" x14ac:dyDescent="0.2">
      <c r="A13" s="115">
        <v>1</v>
      </c>
      <c r="B13" t="s">
        <v>17</v>
      </c>
      <c r="G13" s="477">
        <v>30.5</v>
      </c>
      <c r="H13" s="118" t="s">
        <v>176</v>
      </c>
      <c r="K13" s="360" t="s">
        <v>254</v>
      </c>
      <c r="M13" s="118"/>
    </row>
    <row r="14" spans="1:16" x14ac:dyDescent="0.2">
      <c r="A14" s="115">
        <v>2</v>
      </c>
      <c r="B14" t="s">
        <v>168</v>
      </c>
      <c r="G14" s="477">
        <v>31</v>
      </c>
      <c r="H14" s="118" t="s">
        <v>176</v>
      </c>
      <c r="K14" s="360" t="s">
        <v>29</v>
      </c>
    </row>
    <row r="15" spans="1:16" x14ac:dyDescent="0.2">
      <c r="A15" s="115">
        <v>3</v>
      </c>
      <c r="B15" t="s">
        <v>169</v>
      </c>
      <c r="G15" s="477">
        <v>29.5</v>
      </c>
      <c r="H15" s="118" t="s">
        <v>176</v>
      </c>
      <c r="K15" s="360" t="s">
        <v>25</v>
      </c>
    </row>
    <row r="16" spans="1:16" x14ac:dyDescent="0.2">
      <c r="A16" s="115"/>
      <c r="G16" s="478"/>
      <c r="K16" s="360" t="s">
        <v>28</v>
      </c>
    </row>
    <row r="17" spans="1:11" x14ac:dyDescent="0.2">
      <c r="A17" s="115">
        <v>4</v>
      </c>
      <c r="B17" s="118" t="s">
        <v>170</v>
      </c>
      <c r="G17" s="477">
        <v>29</v>
      </c>
      <c r="H17" s="118" t="s">
        <v>176</v>
      </c>
      <c r="K17" s="360" t="s">
        <v>255</v>
      </c>
    </row>
    <row r="18" spans="1:11" x14ac:dyDescent="0.2">
      <c r="A18" s="115">
        <v>5</v>
      </c>
      <c r="B18" s="118" t="s">
        <v>171</v>
      </c>
      <c r="G18" s="477">
        <v>27.5</v>
      </c>
      <c r="H18" s="118" t="s">
        <v>176</v>
      </c>
      <c r="I18" s="666"/>
      <c r="J18" s="667"/>
      <c r="K18" s="360" t="s">
        <v>256</v>
      </c>
    </row>
    <row r="19" spans="1:11" x14ac:dyDescent="0.2">
      <c r="A19" s="115">
        <v>6</v>
      </c>
      <c r="B19" s="118" t="s">
        <v>172</v>
      </c>
      <c r="G19" s="477">
        <v>27.5</v>
      </c>
      <c r="H19" s="118" t="s">
        <v>176</v>
      </c>
      <c r="I19" s="666"/>
      <c r="J19" s="667"/>
      <c r="K19" s="360" t="s">
        <v>24</v>
      </c>
    </row>
    <row r="20" spans="1:11" x14ac:dyDescent="0.2">
      <c r="G20" s="119"/>
      <c r="I20" s="666"/>
      <c r="J20" s="667"/>
      <c r="K20" s="360" t="s">
        <v>257</v>
      </c>
    </row>
    <row r="21" spans="1:11" x14ac:dyDescent="0.2">
      <c r="B21" t="s">
        <v>173</v>
      </c>
      <c r="G21" s="461">
        <v>6</v>
      </c>
      <c r="I21" s="666"/>
      <c r="J21" s="667"/>
      <c r="K21" s="360" t="s">
        <v>258</v>
      </c>
    </row>
    <row r="22" spans="1:11" x14ac:dyDescent="0.2">
      <c r="K22" s="360" t="s">
        <v>259</v>
      </c>
    </row>
    <row r="23" spans="1:11" ht="13.15" customHeight="1" x14ac:dyDescent="0.2">
      <c r="B23" s="120"/>
      <c r="C23" s="120"/>
      <c r="D23" s="120"/>
      <c r="E23" s="120"/>
      <c r="F23" s="120"/>
      <c r="G23" s="120"/>
      <c r="H23" s="120"/>
      <c r="I23" s="120"/>
      <c r="K23" s="360" t="s">
        <v>26</v>
      </c>
    </row>
    <row r="24" spans="1:11" x14ac:dyDescent="0.2">
      <c r="B24" s="120"/>
      <c r="C24" s="120"/>
      <c r="D24" s="120"/>
      <c r="E24" s="120"/>
      <c r="F24" s="120"/>
      <c r="G24" s="120"/>
      <c r="H24" s="120"/>
      <c r="I24" s="120"/>
      <c r="K24" s="360" t="s">
        <v>251</v>
      </c>
    </row>
    <row r="25" spans="1:11" x14ac:dyDescent="0.2">
      <c r="B25" s="120"/>
      <c r="C25" s="120"/>
      <c r="D25" s="120"/>
      <c r="E25" s="120"/>
      <c r="F25" s="120"/>
      <c r="G25" s="120"/>
      <c r="H25" s="120"/>
      <c r="I25" s="120"/>
      <c r="K25" s="360" t="s">
        <v>252</v>
      </c>
    </row>
    <row r="26" spans="1:11" x14ac:dyDescent="0.2">
      <c r="B26" s="121"/>
      <c r="C26" s="121"/>
      <c r="D26" s="121"/>
      <c r="E26" s="121"/>
      <c r="F26" s="121"/>
      <c r="G26" s="121"/>
      <c r="H26" s="121"/>
      <c r="I26" s="121"/>
      <c r="K26" s="360" t="s">
        <v>253</v>
      </c>
    </row>
  </sheetData>
  <sheetProtection formatCells="0"/>
  <mergeCells count="1">
    <mergeCell ref="I18:J21"/>
  </mergeCells>
  <phoneticPr fontId="29" type="noConversion"/>
  <pageMargins left="0.78740157499999996" right="0.78740157499999996" top="0.984251969" bottom="0.984251969" header="0.4921259845" footer="0.492125984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S71"/>
  <sheetViews>
    <sheetView topLeftCell="A43" zoomScaleNormal="100" workbookViewId="0">
      <selection activeCell="H57" sqref="H57"/>
    </sheetView>
  </sheetViews>
  <sheetFormatPr baseColWidth="10" defaultColWidth="11.42578125" defaultRowHeight="15" x14ac:dyDescent="0.25"/>
  <cols>
    <col min="1" max="1" width="2.7109375" style="192" customWidth="1"/>
    <col min="2" max="2" width="17" style="192" customWidth="1"/>
    <col min="3" max="3" width="7.7109375" style="192" customWidth="1"/>
    <col min="4" max="4" width="8.28515625" style="192" customWidth="1"/>
    <col min="5" max="17" width="7.7109375" style="192" customWidth="1"/>
    <col min="18" max="18" width="2.7109375" style="192" customWidth="1"/>
    <col min="19" max="16384" width="11.42578125" style="192"/>
  </cols>
  <sheetData>
    <row r="1" spans="1:11" ht="19.5" thickBot="1" x14ac:dyDescent="0.35">
      <c r="A1" s="191" t="s">
        <v>214</v>
      </c>
    </row>
    <row r="2" spans="1:11" ht="16.5" thickBot="1" x14ac:dyDescent="0.3">
      <c r="B2" s="193" t="s">
        <v>72</v>
      </c>
      <c r="C2" s="194"/>
      <c r="D2" s="194"/>
      <c r="E2" s="195"/>
      <c r="G2" s="656" t="s">
        <v>212</v>
      </c>
      <c r="H2" s="672"/>
      <c r="I2" s="672"/>
      <c r="J2" s="657"/>
      <c r="K2" s="44"/>
    </row>
    <row r="3" spans="1:11" ht="15.75" customHeight="1" thickTop="1" x14ac:dyDescent="0.25">
      <c r="B3" s="196" t="s">
        <v>73</v>
      </c>
      <c r="C3" s="197" t="s">
        <v>7</v>
      </c>
      <c r="D3" s="198"/>
      <c r="E3" s="199"/>
      <c r="G3" s="180"/>
      <c r="H3" s="181"/>
      <c r="I3" s="181"/>
      <c r="J3" s="182"/>
    </row>
    <row r="4" spans="1:11" ht="15.75" thickBot="1" x14ac:dyDescent="0.3">
      <c r="B4" s="200" t="s">
        <v>74</v>
      </c>
      <c r="C4" s="201">
        <v>10</v>
      </c>
      <c r="D4" s="201">
        <v>20</v>
      </c>
      <c r="E4" s="202">
        <v>30</v>
      </c>
      <c r="G4" s="412"/>
      <c r="H4" s="183"/>
      <c r="I4" s="183"/>
      <c r="J4" s="54"/>
    </row>
    <row r="5" spans="1:11" ht="15.75" thickBot="1" x14ac:dyDescent="0.3">
      <c r="B5" s="203" t="s">
        <v>13</v>
      </c>
      <c r="C5" s="343" t="s">
        <v>236</v>
      </c>
      <c r="D5" s="331" t="s">
        <v>10</v>
      </c>
      <c r="E5" s="359">
        <v>0</v>
      </c>
      <c r="G5" s="412"/>
      <c r="H5" s="183"/>
      <c r="I5" s="183"/>
      <c r="J5" s="54"/>
    </row>
    <row r="6" spans="1:11" ht="15.75" thickBot="1" x14ac:dyDescent="0.3">
      <c r="B6" s="204" t="s">
        <v>14</v>
      </c>
      <c r="C6" s="344" t="s">
        <v>238</v>
      </c>
      <c r="D6" s="306" t="s">
        <v>236</v>
      </c>
      <c r="E6" s="307" t="s">
        <v>222</v>
      </c>
      <c r="G6" s="45"/>
      <c r="H6" s="183"/>
      <c r="I6" s="184"/>
      <c r="J6" s="185"/>
    </row>
    <row r="7" spans="1:11" ht="15.75" thickBot="1" x14ac:dyDescent="0.3">
      <c r="B7" s="204" t="s">
        <v>15</v>
      </c>
      <c r="C7" s="547" t="s">
        <v>238</v>
      </c>
      <c r="D7" s="548" t="s">
        <v>221</v>
      </c>
      <c r="E7" s="549" t="s">
        <v>237</v>
      </c>
      <c r="G7" s="45"/>
      <c r="H7" s="183"/>
      <c r="I7" s="184"/>
      <c r="J7" s="185"/>
    </row>
    <row r="8" spans="1:11" ht="15.75" thickBot="1" x14ac:dyDescent="0.3">
      <c r="B8" s="204" t="s">
        <v>16</v>
      </c>
      <c r="C8" s="547" t="s">
        <v>238</v>
      </c>
      <c r="D8" s="550" t="s">
        <v>10</v>
      </c>
      <c r="E8" s="551">
        <v>0</v>
      </c>
      <c r="G8" s="53"/>
      <c r="H8" s="183"/>
      <c r="I8" s="184"/>
      <c r="J8" s="185"/>
    </row>
    <row r="9" spans="1:11" ht="15.75" thickBot="1" x14ac:dyDescent="0.3">
      <c r="B9" s="204" t="s">
        <v>19</v>
      </c>
      <c r="C9" s="552" t="s">
        <v>223</v>
      </c>
      <c r="D9" s="548" t="s">
        <v>221</v>
      </c>
      <c r="E9" s="551">
        <v>0</v>
      </c>
      <c r="G9" s="53"/>
      <c r="H9" s="183"/>
      <c r="I9" s="184"/>
      <c r="J9" s="185"/>
    </row>
    <row r="10" spans="1:11" ht="15.75" thickBot="1" x14ac:dyDescent="0.3">
      <c r="B10" s="204" t="s">
        <v>20</v>
      </c>
      <c r="C10" s="552" t="s">
        <v>223</v>
      </c>
      <c r="D10" s="550" t="s">
        <v>10</v>
      </c>
      <c r="E10" s="553" t="s">
        <v>222</v>
      </c>
      <c r="G10" s="53"/>
      <c r="H10" s="183"/>
      <c r="I10" s="184"/>
      <c r="J10" s="185"/>
    </row>
    <row r="11" spans="1:11" ht="15.75" thickBot="1" x14ac:dyDescent="0.3">
      <c r="B11" s="204" t="s">
        <v>21</v>
      </c>
      <c r="C11" s="554" t="s">
        <v>222</v>
      </c>
      <c r="D11" s="555" t="s">
        <v>236</v>
      </c>
      <c r="E11" s="551">
        <v>0</v>
      </c>
      <c r="G11" s="186"/>
      <c r="H11" s="184"/>
      <c r="I11" s="184"/>
      <c r="J11" s="185"/>
    </row>
    <row r="12" spans="1:11" ht="15.75" thickBot="1" x14ac:dyDescent="0.3">
      <c r="B12" s="204" t="s">
        <v>22</v>
      </c>
      <c r="C12" s="556" t="s">
        <v>221</v>
      </c>
      <c r="D12" s="549" t="s">
        <v>237</v>
      </c>
      <c r="E12" s="551">
        <v>0</v>
      </c>
      <c r="G12" s="186"/>
      <c r="H12" s="184"/>
      <c r="I12" s="184"/>
      <c r="J12" s="185"/>
    </row>
    <row r="13" spans="1:11" ht="15.75" thickBot="1" x14ac:dyDescent="0.3">
      <c r="B13" s="204" t="s">
        <v>23</v>
      </c>
      <c r="C13" s="552" t="s">
        <v>223</v>
      </c>
      <c r="D13" s="548" t="s">
        <v>221</v>
      </c>
      <c r="E13" s="553" t="s">
        <v>222</v>
      </c>
      <c r="G13" s="186"/>
      <c r="H13" s="184"/>
      <c r="I13" s="184"/>
      <c r="J13" s="185"/>
    </row>
    <row r="14" spans="1:11" ht="15.75" thickBot="1" x14ac:dyDescent="0.3">
      <c r="B14" s="204" t="s">
        <v>24</v>
      </c>
      <c r="C14" s="557" t="s">
        <v>236</v>
      </c>
      <c r="D14" s="549" t="s">
        <v>237</v>
      </c>
      <c r="E14" s="551">
        <v>0</v>
      </c>
      <c r="G14" s="186"/>
      <c r="H14" s="184"/>
      <c r="I14" s="184"/>
      <c r="J14" s="185"/>
    </row>
    <row r="15" spans="1:11" ht="15.75" thickBot="1" x14ac:dyDescent="0.3">
      <c r="B15" s="204" t="s">
        <v>25</v>
      </c>
      <c r="C15" s="552" t="s">
        <v>223</v>
      </c>
      <c r="D15" s="555" t="s">
        <v>236</v>
      </c>
      <c r="E15" s="551">
        <v>0</v>
      </c>
      <c r="G15" s="186"/>
      <c r="H15" s="184"/>
      <c r="I15" s="184"/>
      <c r="J15" s="185"/>
    </row>
    <row r="16" spans="1:11" ht="15.75" thickBot="1" x14ac:dyDescent="0.3">
      <c r="B16" s="204" t="s">
        <v>26</v>
      </c>
      <c r="C16" s="558" t="s">
        <v>10</v>
      </c>
      <c r="D16" s="553" t="s">
        <v>222</v>
      </c>
      <c r="E16" s="551">
        <v>0</v>
      </c>
      <c r="G16" s="186"/>
      <c r="H16" s="184"/>
      <c r="I16" s="184"/>
      <c r="J16" s="185"/>
    </row>
    <row r="17" spans="1:18" ht="15.75" thickBot="1" x14ac:dyDescent="0.3">
      <c r="B17" s="204" t="s">
        <v>28</v>
      </c>
      <c r="C17" s="557" t="s">
        <v>236</v>
      </c>
      <c r="D17" s="549" t="s">
        <v>237</v>
      </c>
      <c r="E17" s="551">
        <v>0</v>
      </c>
      <c r="G17" s="186"/>
      <c r="H17" s="184"/>
      <c r="I17" s="184"/>
      <c r="J17" s="185"/>
    </row>
    <row r="18" spans="1:18" ht="15.75" thickBot="1" x14ac:dyDescent="0.3">
      <c r="B18" s="205" t="s">
        <v>29</v>
      </c>
      <c r="C18" s="559" t="s">
        <v>237</v>
      </c>
      <c r="D18" s="560" t="s">
        <v>236</v>
      </c>
      <c r="E18" s="561">
        <v>0</v>
      </c>
      <c r="G18" s="187"/>
      <c r="H18" s="188"/>
      <c r="I18" s="188"/>
      <c r="J18" s="189"/>
    </row>
    <row r="22" spans="1:18" ht="15.75" thickBot="1" x14ac:dyDescent="0.3">
      <c r="R22" s="206"/>
    </row>
    <row r="23" spans="1:18" ht="15.75" thickBot="1" x14ac:dyDescent="0.3">
      <c r="B23" s="499" t="s">
        <v>75</v>
      </c>
      <c r="C23" s="309" t="s">
        <v>76</v>
      </c>
      <c r="D23" s="505" t="s">
        <v>180</v>
      </c>
      <c r="E23" s="505"/>
      <c r="F23" s="505"/>
      <c r="G23" s="505"/>
      <c r="H23" s="505"/>
      <c r="I23" s="505"/>
      <c r="J23" s="505"/>
      <c r="K23" s="505"/>
      <c r="L23" s="505"/>
      <c r="M23" s="505"/>
      <c r="N23" s="505"/>
      <c r="O23" s="505"/>
      <c r="P23" s="505"/>
      <c r="Q23" s="506"/>
      <c r="R23" s="206"/>
    </row>
    <row r="24" spans="1:18" ht="15" customHeight="1" thickBot="1" x14ac:dyDescent="0.3">
      <c r="B24" s="500"/>
      <c r="C24" s="310" t="s">
        <v>77</v>
      </c>
      <c r="D24" s="356" t="s">
        <v>13</v>
      </c>
      <c r="E24" s="357" t="s">
        <v>14</v>
      </c>
      <c r="F24" s="357" t="s">
        <v>15</v>
      </c>
      <c r="G24" s="357" t="s">
        <v>16</v>
      </c>
      <c r="H24" s="357" t="s">
        <v>19</v>
      </c>
      <c r="I24" s="357" t="s">
        <v>20</v>
      </c>
      <c r="J24" s="357" t="s">
        <v>21</v>
      </c>
      <c r="K24" s="357" t="s">
        <v>22</v>
      </c>
      <c r="L24" s="357" t="s">
        <v>23</v>
      </c>
      <c r="M24" s="357" t="s">
        <v>24</v>
      </c>
      <c r="N24" s="357" t="s">
        <v>25</v>
      </c>
      <c r="O24" s="357" t="s">
        <v>26</v>
      </c>
      <c r="P24" s="357" t="s">
        <v>28</v>
      </c>
      <c r="Q24" s="358" t="s">
        <v>29</v>
      </c>
      <c r="R24" s="207"/>
    </row>
    <row r="25" spans="1:18" ht="15" customHeight="1" x14ac:dyDescent="0.25">
      <c r="B25" s="311" t="s">
        <v>246</v>
      </c>
      <c r="C25" s="332" t="s">
        <v>246</v>
      </c>
      <c r="D25" s="343" t="s">
        <v>236</v>
      </c>
      <c r="E25" s="344" t="s">
        <v>238</v>
      </c>
      <c r="F25" s="344" t="s">
        <v>238</v>
      </c>
      <c r="G25" s="344" t="s">
        <v>238</v>
      </c>
      <c r="H25" s="345" t="s">
        <v>223</v>
      </c>
      <c r="I25" s="345" t="s">
        <v>223</v>
      </c>
      <c r="J25" s="346" t="s">
        <v>222</v>
      </c>
      <c r="K25" s="347" t="s">
        <v>221</v>
      </c>
      <c r="L25" s="345" t="s">
        <v>223</v>
      </c>
      <c r="M25" s="348" t="s">
        <v>236</v>
      </c>
      <c r="N25" s="345" t="s">
        <v>223</v>
      </c>
      <c r="O25" s="349" t="s">
        <v>10</v>
      </c>
      <c r="P25" s="348" t="s">
        <v>236</v>
      </c>
      <c r="Q25" s="350" t="s">
        <v>237</v>
      </c>
      <c r="R25" s="207"/>
    </row>
    <row r="26" spans="1:18" ht="15" customHeight="1" x14ac:dyDescent="0.25">
      <c r="A26" s="304" t="s">
        <v>239</v>
      </c>
      <c r="B26" s="312" t="s">
        <v>247</v>
      </c>
      <c r="C26" s="333" t="s">
        <v>238</v>
      </c>
      <c r="D26" s="351"/>
      <c r="E26" s="306" t="s">
        <v>236</v>
      </c>
      <c r="F26" s="305" t="s">
        <v>221</v>
      </c>
      <c r="G26" s="341" t="s">
        <v>10</v>
      </c>
      <c r="H26" s="342"/>
      <c r="I26" s="342"/>
      <c r="J26" s="342"/>
      <c r="K26" s="342"/>
      <c r="L26" s="342"/>
      <c r="M26" s="342"/>
      <c r="N26" s="342"/>
      <c r="O26" s="342"/>
      <c r="P26" s="342"/>
      <c r="Q26" s="352"/>
      <c r="R26" s="207"/>
    </row>
    <row r="27" spans="1:18" ht="15" customHeight="1" x14ac:dyDescent="0.25">
      <c r="A27" s="304" t="s">
        <v>240</v>
      </c>
      <c r="B27" s="313" t="s">
        <v>247</v>
      </c>
      <c r="C27" s="334" t="s">
        <v>223</v>
      </c>
      <c r="D27" s="351"/>
      <c r="E27" s="342"/>
      <c r="F27" s="342"/>
      <c r="G27" s="342"/>
      <c r="H27" s="305" t="s">
        <v>221</v>
      </c>
      <c r="I27" s="341" t="s">
        <v>10</v>
      </c>
      <c r="J27" s="342"/>
      <c r="K27" s="342"/>
      <c r="L27" s="305" t="s">
        <v>221</v>
      </c>
      <c r="M27" s="342"/>
      <c r="N27" s="306" t="s">
        <v>236</v>
      </c>
      <c r="O27" s="342"/>
      <c r="P27" s="342"/>
      <c r="Q27" s="352"/>
      <c r="R27" s="207"/>
    </row>
    <row r="28" spans="1:18" ht="15" customHeight="1" x14ac:dyDescent="0.25">
      <c r="A28" s="304" t="s">
        <v>241</v>
      </c>
      <c r="B28" s="331" t="s">
        <v>248</v>
      </c>
      <c r="C28" s="335" t="s">
        <v>10</v>
      </c>
      <c r="D28" s="319" t="s">
        <v>285</v>
      </c>
      <c r="E28" s="342"/>
      <c r="F28" s="342"/>
      <c r="G28" s="319" t="s">
        <v>285</v>
      </c>
      <c r="H28" s="342"/>
      <c r="I28" s="307" t="s">
        <v>222</v>
      </c>
      <c r="J28" s="342"/>
      <c r="K28" s="342"/>
      <c r="L28" s="342"/>
      <c r="M28" s="342"/>
      <c r="N28" s="342"/>
      <c r="O28" s="307" t="s">
        <v>222</v>
      </c>
      <c r="P28" s="342"/>
      <c r="Q28" s="352"/>
      <c r="R28" s="207"/>
    </row>
    <row r="29" spans="1:18" ht="15" customHeight="1" x14ac:dyDescent="0.25">
      <c r="A29" s="304" t="s">
        <v>242</v>
      </c>
      <c r="B29" s="314" t="s">
        <v>249</v>
      </c>
      <c r="C29" s="336" t="s">
        <v>221</v>
      </c>
      <c r="D29" s="351"/>
      <c r="E29" s="342"/>
      <c r="F29" s="308" t="s">
        <v>237</v>
      </c>
      <c r="G29" s="342"/>
      <c r="H29" s="319" t="s">
        <v>285</v>
      </c>
      <c r="I29" s="342"/>
      <c r="J29" s="342"/>
      <c r="K29" s="308" t="s">
        <v>237</v>
      </c>
      <c r="L29" s="307" t="s">
        <v>222</v>
      </c>
      <c r="M29" s="342"/>
      <c r="N29" s="342"/>
      <c r="O29" s="342"/>
      <c r="P29" s="342"/>
      <c r="Q29" s="352"/>
      <c r="R29" s="207"/>
    </row>
    <row r="30" spans="1:18" ht="15" customHeight="1" x14ac:dyDescent="0.25">
      <c r="A30" s="304" t="s">
        <v>243</v>
      </c>
      <c r="B30" s="315" t="s">
        <v>249</v>
      </c>
      <c r="C30" s="337" t="s">
        <v>236</v>
      </c>
      <c r="D30" s="331" t="s">
        <v>10</v>
      </c>
      <c r="E30" s="307" t="s">
        <v>222</v>
      </c>
      <c r="F30" s="342"/>
      <c r="G30" s="342"/>
      <c r="H30" s="342"/>
      <c r="I30" s="342"/>
      <c r="J30" s="319" t="s">
        <v>285</v>
      </c>
      <c r="K30" s="342"/>
      <c r="L30" s="342"/>
      <c r="M30" s="308" t="s">
        <v>237</v>
      </c>
      <c r="N30" s="319" t="s">
        <v>285</v>
      </c>
      <c r="O30" s="342"/>
      <c r="P30" s="308" t="s">
        <v>237</v>
      </c>
      <c r="Q30" s="319" t="s">
        <v>285</v>
      </c>
      <c r="R30" s="207"/>
    </row>
    <row r="31" spans="1:18" ht="15" customHeight="1" x14ac:dyDescent="0.25">
      <c r="A31" s="304" t="s">
        <v>244</v>
      </c>
      <c r="B31" s="317" t="s">
        <v>250</v>
      </c>
      <c r="C31" s="338" t="s">
        <v>222</v>
      </c>
      <c r="D31" s="351"/>
      <c r="E31" s="319" t="s">
        <v>285</v>
      </c>
      <c r="F31" s="342"/>
      <c r="G31" s="342"/>
      <c r="H31" s="342"/>
      <c r="I31" s="319" t="s">
        <v>285</v>
      </c>
      <c r="J31" s="306" t="s">
        <v>236</v>
      </c>
      <c r="K31" s="342"/>
      <c r="L31" s="319" t="s">
        <v>285</v>
      </c>
      <c r="M31" s="342"/>
      <c r="N31" s="342"/>
      <c r="O31" s="319" t="s">
        <v>285</v>
      </c>
      <c r="P31" s="342"/>
      <c r="Q31" s="352"/>
      <c r="R31" s="207"/>
    </row>
    <row r="32" spans="1:18" ht="15" customHeight="1" x14ac:dyDescent="0.25">
      <c r="A32" s="304" t="s">
        <v>245</v>
      </c>
      <c r="B32" s="318" t="s">
        <v>250</v>
      </c>
      <c r="C32" s="339" t="s">
        <v>237</v>
      </c>
      <c r="D32" s="351"/>
      <c r="E32" s="342"/>
      <c r="F32" s="319" t="s">
        <v>285</v>
      </c>
      <c r="G32" s="342"/>
      <c r="H32" s="342"/>
      <c r="I32" s="342"/>
      <c r="J32" s="342"/>
      <c r="K32" s="319" t="s">
        <v>285</v>
      </c>
      <c r="L32" s="342"/>
      <c r="M32" s="319" t="s">
        <v>285</v>
      </c>
      <c r="N32" s="342"/>
      <c r="O32" s="342"/>
      <c r="P32" s="319" t="s">
        <v>285</v>
      </c>
      <c r="Q32" s="316" t="s">
        <v>236</v>
      </c>
      <c r="R32" s="207"/>
    </row>
    <row r="33" spans="2:19" ht="15.75" customHeight="1" x14ac:dyDescent="0.25">
      <c r="B33" s="319" t="s">
        <v>285</v>
      </c>
      <c r="C33" s="319" t="s">
        <v>285</v>
      </c>
      <c r="D33" s="351"/>
      <c r="E33" s="342"/>
      <c r="F33" s="342"/>
      <c r="G33" s="342"/>
      <c r="H33" s="342"/>
      <c r="I33" s="342"/>
      <c r="J33" s="342"/>
      <c r="K33" s="342"/>
      <c r="L33" s="342"/>
      <c r="M33" s="342"/>
      <c r="N33" s="342"/>
      <c r="O33" s="342"/>
      <c r="P33" s="342"/>
      <c r="Q33" s="352"/>
      <c r="R33" s="207"/>
    </row>
    <row r="34" spans="2:19" ht="15.75" thickBot="1" x14ac:dyDescent="0.3">
      <c r="B34" s="320"/>
      <c r="C34" s="340"/>
      <c r="D34" s="353"/>
      <c r="E34" s="354"/>
      <c r="F34" s="354"/>
      <c r="G34" s="354"/>
      <c r="H34" s="354"/>
      <c r="I34" s="354"/>
      <c r="J34" s="354"/>
      <c r="K34" s="354"/>
      <c r="L34" s="354"/>
      <c r="M34" s="354"/>
      <c r="N34" s="354"/>
      <c r="O34" s="354"/>
      <c r="P34" s="354"/>
      <c r="Q34" s="355"/>
      <c r="R34" s="210"/>
    </row>
    <row r="35" spans="2:19" ht="15.75" thickBot="1" x14ac:dyDescent="0.3">
      <c r="B35" s="208"/>
      <c r="C35" s="209" t="s">
        <v>201</v>
      </c>
      <c r="D35" s="190">
        <v>1</v>
      </c>
      <c r="E35" s="190">
        <v>1</v>
      </c>
      <c r="F35" s="190">
        <v>1</v>
      </c>
      <c r="G35" s="190">
        <v>1</v>
      </c>
      <c r="H35" s="190">
        <v>1</v>
      </c>
      <c r="I35" s="190">
        <v>1</v>
      </c>
      <c r="J35" s="190">
        <v>1</v>
      </c>
      <c r="K35" s="190">
        <v>1</v>
      </c>
      <c r="L35" s="190">
        <v>1</v>
      </c>
      <c r="M35" s="190">
        <v>1</v>
      </c>
      <c r="N35" s="190">
        <v>1</v>
      </c>
      <c r="O35" s="190">
        <v>1</v>
      </c>
      <c r="P35" s="190">
        <v>1</v>
      </c>
      <c r="Q35" s="190">
        <v>1</v>
      </c>
    </row>
    <row r="36" spans="2:19" ht="15.75" thickBot="1" x14ac:dyDescent="0.3">
      <c r="F36" s="210"/>
      <c r="G36" s="206"/>
      <c r="H36" s="206"/>
      <c r="I36" s="206"/>
      <c r="J36" s="206"/>
      <c r="K36" s="206"/>
      <c r="M36" s="206"/>
      <c r="N36" s="206"/>
      <c r="O36" s="206"/>
    </row>
    <row r="37" spans="2:19" ht="16.5" thickBot="1" x14ac:dyDescent="0.3">
      <c r="B37" s="206" t="s">
        <v>202</v>
      </c>
      <c r="D37" s="522" t="s">
        <v>79</v>
      </c>
      <c r="E37" s="523"/>
      <c r="F37" s="524"/>
      <c r="G37" s="524"/>
      <c r="H37" s="524"/>
      <c r="I37" s="525"/>
      <c r="L37" s="206"/>
      <c r="S37" s="192">
        <v>0</v>
      </c>
    </row>
    <row r="38" spans="2:19" ht="20.25" thickTop="1" thickBot="1" x14ac:dyDescent="0.3">
      <c r="B38" s="422">
        <f>NbMoteur_par_Jour</f>
        <v>14</v>
      </c>
      <c r="C38" s="211"/>
      <c r="D38" s="502" t="s">
        <v>61</v>
      </c>
      <c r="E38" s="526"/>
      <c r="F38" s="526"/>
      <c r="G38" s="526"/>
      <c r="H38" s="526"/>
      <c r="I38" s="527"/>
      <c r="J38" s="421"/>
    </row>
    <row r="39" spans="2:19" ht="30.75" thickBot="1" x14ac:dyDescent="0.3">
      <c r="B39" s="423" t="s">
        <v>313</v>
      </c>
      <c r="C39" s="212"/>
      <c r="D39" s="329" t="s">
        <v>246</v>
      </c>
      <c r="E39" s="330" t="s">
        <v>238</v>
      </c>
      <c r="F39" s="330" t="s">
        <v>223</v>
      </c>
      <c r="G39" s="330" t="s">
        <v>10</v>
      </c>
      <c r="H39" s="330" t="s">
        <v>221</v>
      </c>
      <c r="I39" s="330" t="s">
        <v>236</v>
      </c>
      <c r="J39" s="330" t="s">
        <v>222</v>
      </c>
      <c r="K39" s="330" t="s">
        <v>237</v>
      </c>
      <c r="L39" s="533" t="s">
        <v>285</v>
      </c>
      <c r="S39" s="192" t="s">
        <v>263</v>
      </c>
    </row>
    <row r="40" spans="2:19" ht="15.75" customHeight="1" thickBot="1" x14ac:dyDescent="0.3">
      <c r="B40" s="501" t="s">
        <v>60</v>
      </c>
      <c r="C40" s="299" t="s">
        <v>246</v>
      </c>
      <c r="D40" s="391">
        <f>SUMIF($D25:$Q25,"="&amp;D$39,$D$35:$Q$35)</f>
        <v>0</v>
      </c>
      <c r="E40" s="530">
        <f>SUMIF($D25:$Q25,"="&amp;E$39,$D$35:$Q$35)</f>
        <v>3</v>
      </c>
      <c r="F40" s="530">
        <f t="shared" ref="F40:L40" si="0">SUMIF($D25:$Q25,"="&amp;F$39,$D$35:$Q$35)</f>
        <v>4</v>
      </c>
      <c r="G40" s="536">
        <f t="shared" si="0"/>
        <v>1</v>
      </c>
      <c r="H40" s="536">
        <f t="shared" si="0"/>
        <v>1</v>
      </c>
      <c r="I40" s="530">
        <f t="shared" si="0"/>
        <v>3</v>
      </c>
      <c r="J40" s="536">
        <f t="shared" si="0"/>
        <v>1</v>
      </c>
      <c r="K40" s="536">
        <f t="shared" si="0"/>
        <v>1</v>
      </c>
      <c r="L40" s="391">
        <f t="shared" si="0"/>
        <v>0</v>
      </c>
      <c r="M40" s="323">
        <f>SUM(D40:L40)</f>
        <v>14</v>
      </c>
      <c r="N40" s="504" t="s">
        <v>80</v>
      </c>
    </row>
    <row r="41" spans="2:19" ht="15.75" customHeight="1" thickBot="1" x14ac:dyDescent="0.3">
      <c r="B41" s="502"/>
      <c r="C41" s="333" t="s">
        <v>238</v>
      </c>
      <c r="D41" s="391">
        <f t="shared" ref="D41:L48" si="1">SUMIF($D26:$Q26,"="&amp;D$39,$D$35:$Q$35)</f>
        <v>0</v>
      </c>
      <c r="E41" s="391">
        <f t="shared" si="1"/>
        <v>0</v>
      </c>
      <c r="F41" s="391">
        <f t="shared" si="1"/>
        <v>0</v>
      </c>
      <c r="G41" s="391">
        <f t="shared" si="1"/>
        <v>1</v>
      </c>
      <c r="H41" s="391">
        <f t="shared" si="1"/>
        <v>1</v>
      </c>
      <c r="I41" s="391">
        <f t="shared" si="1"/>
        <v>1</v>
      </c>
      <c r="J41" s="391">
        <f t="shared" si="1"/>
        <v>0</v>
      </c>
      <c r="K41" s="391">
        <f t="shared" si="1"/>
        <v>0</v>
      </c>
      <c r="L41" s="391">
        <f t="shared" si="1"/>
        <v>0</v>
      </c>
      <c r="M41" s="323">
        <f t="shared" ref="M41:M48" si="2">SUM(D41:L41)</f>
        <v>3</v>
      </c>
      <c r="N41" s="504"/>
    </row>
    <row r="42" spans="2:19" ht="15.75" customHeight="1" thickBot="1" x14ac:dyDescent="0.3">
      <c r="B42" s="502"/>
      <c r="C42" s="334" t="s">
        <v>223</v>
      </c>
      <c r="D42" s="391">
        <f t="shared" si="1"/>
        <v>0</v>
      </c>
      <c r="E42" s="391">
        <f t="shared" si="1"/>
        <v>0</v>
      </c>
      <c r="F42" s="391">
        <f t="shared" si="1"/>
        <v>0</v>
      </c>
      <c r="G42" s="391">
        <f t="shared" si="1"/>
        <v>1</v>
      </c>
      <c r="H42" s="531">
        <f t="shared" si="1"/>
        <v>2</v>
      </c>
      <c r="I42" s="391">
        <f t="shared" si="1"/>
        <v>1</v>
      </c>
      <c r="J42" s="391">
        <f t="shared" si="1"/>
        <v>0</v>
      </c>
      <c r="K42" s="391">
        <f t="shared" si="1"/>
        <v>0</v>
      </c>
      <c r="L42" s="391">
        <f t="shared" si="1"/>
        <v>0</v>
      </c>
      <c r="M42" s="323">
        <f t="shared" si="2"/>
        <v>4</v>
      </c>
      <c r="N42" s="504"/>
    </row>
    <row r="43" spans="2:19" ht="15.75" customHeight="1" thickBot="1" x14ac:dyDescent="0.3">
      <c r="B43" s="502"/>
      <c r="C43" s="335" t="s">
        <v>10</v>
      </c>
      <c r="D43" s="391">
        <f t="shared" si="1"/>
        <v>0</v>
      </c>
      <c r="E43" s="391">
        <f t="shared" si="1"/>
        <v>0</v>
      </c>
      <c r="F43" s="391">
        <f t="shared" si="1"/>
        <v>0</v>
      </c>
      <c r="G43" s="391">
        <f t="shared" si="1"/>
        <v>0</v>
      </c>
      <c r="H43" s="391">
        <f t="shared" si="1"/>
        <v>0</v>
      </c>
      <c r="I43" s="391">
        <f t="shared" si="1"/>
        <v>0</v>
      </c>
      <c r="J43" s="532">
        <f t="shared" si="1"/>
        <v>2</v>
      </c>
      <c r="K43" s="391">
        <f t="shared" si="1"/>
        <v>0</v>
      </c>
      <c r="L43" s="531">
        <f t="shared" si="1"/>
        <v>2</v>
      </c>
      <c r="M43" s="323">
        <f t="shared" si="2"/>
        <v>4</v>
      </c>
      <c r="N43" s="504"/>
    </row>
    <row r="44" spans="2:19" ht="15" customHeight="1" thickBot="1" x14ac:dyDescent="0.3">
      <c r="B44" s="503"/>
      <c r="C44" s="336" t="s">
        <v>221</v>
      </c>
      <c r="D44" s="391">
        <f t="shared" si="1"/>
        <v>0</v>
      </c>
      <c r="E44" s="391">
        <f t="shared" si="1"/>
        <v>0</v>
      </c>
      <c r="F44" s="391">
        <f t="shared" si="1"/>
        <v>0</v>
      </c>
      <c r="G44" s="391">
        <f t="shared" si="1"/>
        <v>0</v>
      </c>
      <c r="H44" s="391">
        <f t="shared" si="1"/>
        <v>0</v>
      </c>
      <c r="I44" s="391">
        <f t="shared" si="1"/>
        <v>0</v>
      </c>
      <c r="J44" s="391">
        <f t="shared" si="1"/>
        <v>1</v>
      </c>
      <c r="K44" s="532">
        <f t="shared" si="1"/>
        <v>2</v>
      </c>
      <c r="L44" s="391">
        <f t="shared" si="1"/>
        <v>1</v>
      </c>
      <c r="M44" s="323">
        <f t="shared" si="2"/>
        <v>4</v>
      </c>
      <c r="N44" s="504"/>
    </row>
    <row r="45" spans="2:19" ht="17.25" customHeight="1" thickBot="1" x14ac:dyDescent="0.3">
      <c r="B45" s="210"/>
      <c r="C45" s="337" t="s">
        <v>236</v>
      </c>
      <c r="D45" s="391">
        <f t="shared" si="1"/>
        <v>0</v>
      </c>
      <c r="E45" s="391">
        <f t="shared" si="1"/>
        <v>0</v>
      </c>
      <c r="F45" s="391">
        <f t="shared" si="1"/>
        <v>0</v>
      </c>
      <c r="G45" s="391">
        <f t="shared" si="1"/>
        <v>1</v>
      </c>
      <c r="H45" s="391">
        <f t="shared" si="1"/>
        <v>0</v>
      </c>
      <c r="I45" s="391">
        <f t="shared" si="1"/>
        <v>0</v>
      </c>
      <c r="J45" s="391">
        <f t="shared" si="1"/>
        <v>1</v>
      </c>
      <c r="K45" s="391">
        <f t="shared" si="1"/>
        <v>2</v>
      </c>
      <c r="L45" s="534">
        <f t="shared" si="1"/>
        <v>3</v>
      </c>
      <c r="M45" s="323">
        <f t="shared" si="2"/>
        <v>7</v>
      </c>
    </row>
    <row r="46" spans="2:19" ht="15" customHeight="1" thickBot="1" x14ac:dyDescent="0.3">
      <c r="B46" s="206"/>
      <c r="C46" s="338" t="s">
        <v>222</v>
      </c>
      <c r="D46" s="391">
        <f t="shared" si="1"/>
        <v>0</v>
      </c>
      <c r="E46" s="391">
        <f t="shared" si="1"/>
        <v>0</v>
      </c>
      <c r="F46" s="391">
        <f t="shared" si="1"/>
        <v>0</v>
      </c>
      <c r="G46" s="391">
        <f t="shared" si="1"/>
        <v>0</v>
      </c>
      <c r="H46" s="391">
        <f t="shared" si="1"/>
        <v>0</v>
      </c>
      <c r="I46" s="391">
        <f t="shared" si="1"/>
        <v>1</v>
      </c>
      <c r="J46" s="391">
        <f t="shared" si="1"/>
        <v>0</v>
      </c>
      <c r="K46" s="391">
        <f t="shared" si="1"/>
        <v>0</v>
      </c>
      <c r="L46" s="534">
        <f t="shared" si="1"/>
        <v>4</v>
      </c>
      <c r="M46" s="323">
        <f t="shared" si="2"/>
        <v>5</v>
      </c>
      <c r="N46"/>
    </row>
    <row r="47" spans="2:19" ht="15" customHeight="1" thickBot="1" x14ac:dyDescent="0.3">
      <c r="C47" s="339" t="s">
        <v>237</v>
      </c>
      <c r="D47" s="391">
        <f t="shared" si="1"/>
        <v>0</v>
      </c>
      <c r="E47" s="391">
        <f t="shared" si="1"/>
        <v>0</v>
      </c>
      <c r="F47" s="391">
        <f t="shared" si="1"/>
        <v>0</v>
      </c>
      <c r="G47" s="391">
        <f t="shared" si="1"/>
        <v>0</v>
      </c>
      <c r="H47" s="391">
        <f t="shared" si="1"/>
        <v>0</v>
      </c>
      <c r="I47" s="391">
        <f t="shared" si="1"/>
        <v>1</v>
      </c>
      <c r="J47" s="391">
        <f t="shared" si="1"/>
        <v>0</v>
      </c>
      <c r="K47" s="391">
        <f t="shared" si="1"/>
        <v>0</v>
      </c>
      <c r="L47" s="534">
        <f t="shared" si="1"/>
        <v>4</v>
      </c>
      <c r="M47" s="323">
        <f t="shared" si="2"/>
        <v>5</v>
      </c>
    </row>
    <row r="48" spans="2:19" ht="15" customHeight="1" thickBot="1" x14ac:dyDescent="0.3">
      <c r="C48" s="325" t="s">
        <v>285</v>
      </c>
      <c r="D48" s="391">
        <f t="shared" si="1"/>
        <v>0</v>
      </c>
      <c r="E48" s="391">
        <f t="shared" si="1"/>
        <v>0</v>
      </c>
      <c r="F48" s="391">
        <f t="shared" si="1"/>
        <v>0</v>
      </c>
      <c r="G48" s="391">
        <f>SUMIF($D33:$Q33,"="&amp;G$39,$D$35:$Q$35)</f>
        <v>0</v>
      </c>
      <c r="H48" s="391">
        <f t="shared" si="1"/>
        <v>0</v>
      </c>
      <c r="I48" s="391">
        <f t="shared" si="1"/>
        <v>0</v>
      </c>
      <c r="J48" s="391">
        <f t="shared" si="1"/>
        <v>0</v>
      </c>
      <c r="K48" s="391">
        <f t="shared" si="1"/>
        <v>0</v>
      </c>
      <c r="L48" s="391">
        <f t="shared" si="1"/>
        <v>0</v>
      </c>
      <c r="M48" s="324">
        <f t="shared" si="2"/>
        <v>0</v>
      </c>
    </row>
    <row r="49" spans="2:12" ht="4.1500000000000004" customHeight="1" thickBot="1" x14ac:dyDescent="0.3">
      <c r="D49" s="326"/>
      <c r="E49" s="327"/>
      <c r="F49" s="327"/>
      <c r="G49" s="327"/>
      <c r="H49" s="327"/>
      <c r="I49" s="327"/>
      <c r="J49" s="327"/>
      <c r="K49" s="327"/>
      <c r="L49" s="328"/>
    </row>
    <row r="50" spans="2:12" ht="15" customHeight="1" thickBot="1" x14ac:dyDescent="0.3">
      <c r="D50" s="321">
        <f>SUM(D40:D48)</f>
        <v>0</v>
      </c>
      <c r="E50" s="321">
        <f t="shared" ref="E50:L50" si="3">SUM(E40:E48)</f>
        <v>3</v>
      </c>
      <c r="F50" s="321">
        <f t="shared" si="3"/>
        <v>4</v>
      </c>
      <c r="G50" s="321">
        <f t="shared" si="3"/>
        <v>4</v>
      </c>
      <c r="H50" s="321">
        <f t="shared" si="3"/>
        <v>4</v>
      </c>
      <c r="I50" s="321">
        <f t="shared" si="3"/>
        <v>7</v>
      </c>
      <c r="J50" s="321">
        <f t="shared" si="3"/>
        <v>5</v>
      </c>
      <c r="K50" s="321">
        <f t="shared" si="3"/>
        <v>5</v>
      </c>
      <c r="L50" s="322">
        <f t="shared" si="3"/>
        <v>14</v>
      </c>
    </row>
    <row r="51" spans="2:12" ht="15.75" customHeight="1" thickBot="1" x14ac:dyDescent="0.3">
      <c r="D51" s="528" t="s">
        <v>81</v>
      </c>
      <c r="E51" s="529"/>
      <c r="F51" s="529"/>
      <c r="G51" s="529"/>
      <c r="H51" s="529"/>
      <c r="I51" s="529"/>
      <c r="J51" s="300"/>
      <c r="K51" s="300"/>
      <c r="L51" s="301"/>
    </row>
    <row r="56" spans="2:12" x14ac:dyDescent="0.25">
      <c r="H56" s="214"/>
      <c r="J56" s="214"/>
    </row>
    <row r="57" spans="2:12" x14ac:dyDescent="0.25">
      <c r="J57" s="214"/>
    </row>
    <row r="58" spans="2:12" x14ac:dyDescent="0.25">
      <c r="B58" s="213" t="s">
        <v>178</v>
      </c>
      <c r="C58" s="214" t="s">
        <v>179</v>
      </c>
    </row>
    <row r="59" spans="2:12" x14ac:dyDescent="0.25">
      <c r="B59" s="215"/>
      <c r="C59" s="215"/>
      <c r="D59" s="216"/>
      <c r="E59" s="215"/>
      <c r="F59" s="216"/>
      <c r="G59" s="217"/>
      <c r="H59" s="216"/>
      <c r="I59" s="217"/>
      <c r="J59" s="216"/>
      <c r="K59" s="215"/>
      <c r="L59" s="215"/>
    </row>
    <row r="60" spans="2:12" x14ac:dyDescent="0.25">
      <c r="B60" s="215"/>
      <c r="C60" s="392"/>
      <c r="D60" s="218"/>
      <c r="E60" s="392"/>
      <c r="F60" s="218"/>
      <c r="G60" s="392"/>
      <c r="H60" s="218"/>
      <c r="I60" s="392"/>
      <c r="J60" s="218"/>
      <c r="K60" s="215"/>
      <c r="L60" s="215"/>
    </row>
    <row r="61" spans="2:12" x14ac:dyDescent="0.25">
      <c r="B61" s="215"/>
      <c r="C61" s="392"/>
      <c r="D61" s="218"/>
      <c r="E61" s="392"/>
      <c r="F61" s="218"/>
      <c r="G61" s="392"/>
      <c r="H61" s="218"/>
      <c r="I61" s="392"/>
      <c r="J61" s="218"/>
      <c r="K61" s="215"/>
      <c r="L61" s="215"/>
    </row>
    <row r="62" spans="2:12" x14ac:dyDescent="0.25">
      <c r="B62" s="215"/>
      <c r="C62" s="215"/>
      <c r="D62" s="215"/>
      <c r="E62" s="392"/>
      <c r="F62" s="218"/>
      <c r="G62" s="392"/>
      <c r="H62" s="218"/>
      <c r="I62" s="392"/>
      <c r="J62" s="218"/>
      <c r="K62" s="215"/>
      <c r="L62" s="215"/>
    </row>
    <row r="63" spans="2:12" x14ac:dyDescent="0.25">
      <c r="B63" s="215"/>
      <c r="C63" s="215"/>
      <c r="D63" s="215"/>
      <c r="E63" s="215"/>
      <c r="F63" s="218"/>
      <c r="G63" s="392"/>
      <c r="H63" s="218"/>
      <c r="I63" s="215"/>
      <c r="J63" s="218"/>
      <c r="K63" s="215"/>
      <c r="L63" s="215"/>
    </row>
    <row r="64" spans="2:12" ht="15.75" thickBot="1" x14ac:dyDescent="0.3">
      <c r="B64" s="215"/>
      <c r="C64" s="215"/>
      <c r="D64" s="215"/>
      <c r="E64" s="215"/>
      <c r="F64" s="218"/>
      <c r="G64" s="215"/>
      <c r="H64" s="218"/>
      <c r="I64" s="215"/>
      <c r="J64" s="218"/>
      <c r="K64" s="215"/>
      <c r="L64" s="215"/>
    </row>
    <row r="65" spans="2:12" ht="15.75" thickBot="1" x14ac:dyDescent="0.3">
      <c r="B65" s="410" t="s">
        <v>239</v>
      </c>
      <c r="C65" s="409" t="s">
        <v>243</v>
      </c>
      <c r="D65" s="411"/>
      <c r="E65" s="409" t="s">
        <v>273</v>
      </c>
      <c r="F65" s="411"/>
      <c r="G65" s="668" t="s">
        <v>301</v>
      </c>
      <c r="H65" s="673"/>
      <c r="I65" s="679" t="s">
        <v>302</v>
      </c>
      <c r="J65" s="673"/>
      <c r="K65" s="668" t="s">
        <v>2</v>
      </c>
      <c r="L65" s="669"/>
    </row>
    <row r="66" spans="2:12" ht="15.75" thickBot="1" x14ac:dyDescent="0.3">
      <c r="B66" s="406" t="s">
        <v>267</v>
      </c>
      <c r="C66" s="400"/>
      <c r="D66" s="535" t="s">
        <v>300</v>
      </c>
      <c r="E66" s="407" t="s">
        <v>271</v>
      </c>
      <c r="F66" s="408"/>
      <c r="G66" s="674" t="s">
        <v>272</v>
      </c>
      <c r="H66" s="675"/>
      <c r="I66" s="539" t="s">
        <v>305</v>
      </c>
      <c r="J66" s="540"/>
      <c r="K66" s="544" t="s">
        <v>310</v>
      </c>
      <c r="L66" s="397"/>
    </row>
    <row r="67" spans="2:12" x14ac:dyDescent="0.25">
      <c r="B67" s="402" t="s">
        <v>264</v>
      </c>
      <c r="C67" s="403" t="s">
        <v>268</v>
      </c>
      <c r="D67" s="404"/>
      <c r="E67" s="402" t="s">
        <v>274</v>
      </c>
      <c r="F67" s="405"/>
      <c r="G67" s="676" t="s">
        <v>303</v>
      </c>
      <c r="H67" s="677"/>
      <c r="I67" s="678" t="s">
        <v>306</v>
      </c>
      <c r="J67" s="680"/>
      <c r="K67" s="670" t="s">
        <v>311</v>
      </c>
      <c r="L67" s="671"/>
    </row>
    <row r="68" spans="2:12" x14ac:dyDescent="0.25">
      <c r="B68" s="393" t="s">
        <v>265</v>
      </c>
      <c r="C68" s="394" t="s">
        <v>269</v>
      </c>
      <c r="D68" s="395"/>
      <c r="E68" s="393" t="s">
        <v>275</v>
      </c>
      <c r="F68" s="397"/>
      <c r="G68" s="676" t="s">
        <v>304</v>
      </c>
      <c r="H68" s="677"/>
      <c r="I68" s="681" t="s">
        <v>308</v>
      </c>
      <c r="J68" s="682"/>
      <c r="K68" s="396"/>
      <c r="L68" s="397"/>
    </row>
    <row r="69" spans="2:12" x14ac:dyDescent="0.25">
      <c r="B69" s="393" t="s">
        <v>266</v>
      </c>
      <c r="C69" s="394" t="s">
        <v>270</v>
      </c>
      <c r="D69" s="395"/>
      <c r="E69" s="401"/>
      <c r="F69" s="397"/>
      <c r="G69" s="537"/>
      <c r="H69" s="542"/>
      <c r="I69" s="678" t="s">
        <v>307</v>
      </c>
      <c r="J69" s="671"/>
      <c r="K69" s="396"/>
      <c r="L69" s="397"/>
    </row>
    <row r="70" spans="2:12" x14ac:dyDescent="0.25">
      <c r="B70" s="302"/>
      <c r="C70" s="396"/>
      <c r="D70" s="397"/>
      <c r="E70" s="401"/>
      <c r="F70" s="397"/>
      <c r="G70" s="537"/>
      <c r="H70" s="542"/>
      <c r="I70" s="678" t="s">
        <v>309</v>
      </c>
      <c r="J70" s="671"/>
      <c r="K70" s="396"/>
      <c r="L70" s="397"/>
    </row>
    <row r="71" spans="2:12" ht="15.75" thickBot="1" x14ac:dyDescent="0.3">
      <c r="B71" s="303"/>
      <c r="C71" s="398"/>
      <c r="D71" s="399"/>
      <c r="E71" s="398"/>
      <c r="F71" s="399"/>
      <c r="G71" s="541"/>
      <c r="H71" s="543"/>
      <c r="I71" s="538"/>
      <c r="J71" s="399"/>
      <c r="K71" s="398"/>
      <c r="L71" s="399"/>
    </row>
  </sheetData>
  <sheetProtection formatCells="0" formatColumns="0" formatRows="0" insertColumns="0" insertRows="0" deleteColumns="0" deleteRows="0"/>
  <mergeCells count="12">
    <mergeCell ref="I70:J70"/>
    <mergeCell ref="G68:H68"/>
    <mergeCell ref="I65:J65"/>
    <mergeCell ref="I67:J67"/>
    <mergeCell ref="I68:J68"/>
    <mergeCell ref="I69:J69"/>
    <mergeCell ref="K65:L65"/>
    <mergeCell ref="K67:L67"/>
    <mergeCell ref="G2:J2"/>
    <mergeCell ref="G65:H65"/>
    <mergeCell ref="G66:H66"/>
    <mergeCell ref="G67:H67"/>
  </mergeCells>
  <phoneticPr fontId="52" type="noConversion"/>
  <pageMargins left="0.25" right="0.25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0"/>
  <dimension ref="B1:L1199"/>
  <sheetViews>
    <sheetView zoomScale="85" zoomScaleNormal="85" workbookViewId="0">
      <selection activeCell="G12" sqref="G12"/>
    </sheetView>
  </sheetViews>
  <sheetFormatPr baseColWidth="10" defaultColWidth="11.42578125" defaultRowHeight="15" x14ac:dyDescent="0.25"/>
  <cols>
    <col min="1" max="1" width="2.7109375" style="75" customWidth="1"/>
    <col min="2" max="2" width="9.28515625" style="176" customWidth="1"/>
    <col min="3" max="3" width="12.7109375" style="75" customWidth="1"/>
    <col min="4" max="8" width="14.7109375" style="75" customWidth="1"/>
    <col min="9" max="9" width="12.7109375" style="75" customWidth="1"/>
    <col min="10" max="10" width="2.7109375" style="75" customWidth="1"/>
    <col min="11" max="12" width="18.7109375" style="75" customWidth="1"/>
    <col min="13" max="16384" width="11.42578125" style="75"/>
  </cols>
  <sheetData>
    <row r="1" spans="2:12" ht="52.9" customHeight="1" x14ac:dyDescent="0.25">
      <c r="B1" s="174" t="s">
        <v>57</v>
      </c>
      <c r="K1" s="656" t="s">
        <v>212</v>
      </c>
      <c r="L1" s="657"/>
    </row>
    <row r="2" spans="2:12" x14ac:dyDescent="0.25">
      <c r="B2" s="75"/>
      <c r="K2" s="53"/>
      <c r="L2" s="54"/>
    </row>
    <row r="3" spans="2:12" x14ac:dyDescent="0.25">
      <c r="B3" s="75"/>
      <c r="E3" s="175" t="s">
        <v>182</v>
      </c>
      <c r="F3" s="167">
        <f>SUM(Total_Machinerie)</f>
        <v>549000</v>
      </c>
      <c r="K3" s="53"/>
      <c r="L3" s="54"/>
    </row>
    <row r="4" spans="2:12" x14ac:dyDescent="0.25">
      <c r="B4" s="75"/>
      <c r="E4" s="175" t="s">
        <v>183</v>
      </c>
      <c r="F4" s="168">
        <f>F3-CapitalFinancement</f>
        <v>164700</v>
      </c>
      <c r="K4" s="53"/>
      <c r="L4" s="54"/>
    </row>
    <row r="5" spans="2:12" x14ac:dyDescent="0.25">
      <c r="B5" s="75"/>
      <c r="E5" s="175" t="s">
        <v>184</v>
      </c>
      <c r="F5" s="168">
        <f>CapitalFinancement</f>
        <v>384300</v>
      </c>
      <c r="K5" s="47"/>
      <c r="L5" s="48"/>
    </row>
    <row r="6" spans="2:12" x14ac:dyDescent="0.25">
      <c r="B6" s="75"/>
      <c r="E6" s="175" t="s">
        <v>90</v>
      </c>
      <c r="F6" s="169">
        <f>Taux_Intérêt</f>
        <v>5.8000000000000003E-2</v>
      </c>
      <c r="K6" s="47"/>
      <c r="L6" s="48"/>
    </row>
    <row r="7" spans="2:12" x14ac:dyDescent="0.25">
      <c r="B7" s="75"/>
      <c r="E7" s="175" t="s">
        <v>185</v>
      </c>
      <c r="F7" s="170">
        <v>5</v>
      </c>
      <c r="K7" s="47"/>
      <c r="L7" s="48"/>
    </row>
    <row r="8" spans="2:12" x14ac:dyDescent="0.25">
      <c r="B8" s="75"/>
      <c r="E8" s="175" t="s">
        <v>186</v>
      </c>
      <c r="F8" s="171">
        <v>12</v>
      </c>
      <c r="K8" s="47"/>
      <c r="L8" s="48"/>
    </row>
    <row r="9" spans="2:12" ht="15.75" thickBot="1" x14ac:dyDescent="0.3">
      <c r="B9" s="75"/>
      <c r="F9" s="88" t="s">
        <v>190</v>
      </c>
      <c r="G9" s="88" t="s">
        <v>191</v>
      </c>
      <c r="K9" s="47"/>
      <c r="L9" s="48"/>
    </row>
    <row r="10" spans="2:12" ht="15.75" thickBot="1" x14ac:dyDescent="0.3">
      <c r="B10" s="75"/>
      <c r="E10" s="88" t="s">
        <v>187</v>
      </c>
      <c r="F10" s="479">
        <f>-PMT(F6/F8,F8*F7,F5)</f>
        <v>7393.9092133723361</v>
      </c>
      <c r="G10" s="562">
        <f>F5*(F6/F8)/(1-(1/(1+F6/F8)^(F8*F7)))</f>
        <v>7393.9092133724353</v>
      </c>
      <c r="K10" s="603" t="s">
        <v>328</v>
      </c>
      <c r="L10" s="48"/>
    </row>
    <row r="11" spans="2:12" ht="15.75" thickBot="1" x14ac:dyDescent="0.3">
      <c r="B11" s="75"/>
      <c r="E11" s="88" t="s">
        <v>181</v>
      </c>
      <c r="F11" s="634">
        <f>MAX(I15:I74)</f>
        <v>59334.552802339182</v>
      </c>
      <c r="K11" s="86"/>
      <c r="L11" s="52"/>
    </row>
    <row r="12" spans="2:12" ht="15.75" thickBot="1" x14ac:dyDescent="0.3">
      <c r="B12" s="75"/>
    </row>
    <row r="13" spans="2:12" ht="15.75" thickBot="1" x14ac:dyDescent="0.3">
      <c r="B13" s="470" t="s">
        <v>59</v>
      </c>
      <c r="C13" s="470"/>
      <c r="D13" s="683" t="s">
        <v>188</v>
      </c>
      <c r="E13" s="684"/>
      <c r="F13" s="683" t="s">
        <v>189</v>
      </c>
      <c r="G13" s="684"/>
      <c r="H13" s="471"/>
      <c r="I13" s="472"/>
    </row>
    <row r="14" spans="2:12" ht="15.75" thickBot="1" x14ac:dyDescent="0.3">
      <c r="B14" s="473" t="s">
        <v>56</v>
      </c>
      <c r="C14" s="473" t="s">
        <v>187</v>
      </c>
      <c r="D14" s="474" t="s">
        <v>191</v>
      </c>
      <c r="E14" s="600" t="s">
        <v>190</v>
      </c>
      <c r="F14" s="474" t="s">
        <v>191</v>
      </c>
      <c r="G14" s="600" t="s">
        <v>190</v>
      </c>
      <c r="H14" s="475" t="s">
        <v>55</v>
      </c>
      <c r="I14" s="476" t="s">
        <v>54</v>
      </c>
    </row>
    <row r="15" spans="2:12" ht="15.75" thickBot="1" x14ac:dyDescent="0.3">
      <c r="B15" s="464">
        <v>1</v>
      </c>
      <c r="C15" s="172">
        <f t="shared" ref="C15:C46" si="0">$G$10</f>
        <v>7393.9092133724353</v>
      </c>
      <c r="D15" s="173">
        <f>C15-F15</f>
        <v>5536.4592133724354</v>
      </c>
      <c r="E15" s="655">
        <f>-PPMT($F$6/$F$8,B15,$F$7*$F$8,$F$5)</f>
        <v>5536.4592133723363</v>
      </c>
      <c r="F15" s="173">
        <f>(F5*$F$6)/$F$8</f>
        <v>1857.45</v>
      </c>
      <c r="G15" s="655">
        <f>-IPMT($F$6/$F$8,B15,$F$7*$F$8,$F$5)</f>
        <v>1857.45</v>
      </c>
      <c r="H15" s="601">
        <f>F5-D15</f>
        <v>378763.54078662756</v>
      </c>
      <c r="I15" s="465">
        <f>F15</f>
        <v>1857.45</v>
      </c>
    </row>
    <row r="16" spans="2:12" ht="15.75" thickBot="1" x14ac:dyDescent="0.3">
      <c r="B16" s="464">
        <v>2</v>
      </c>
      <c r="C16" s="172">
        <f t="shared" si="0"/>
        <v>7393.9092133724353</v>
      </c>
      <c r="D16" s="173">
        <f>C16-F16</f>
        <v>5563.2187662370688</v>
      </c>
      <c r="E16" s="655">
        <f>-PPMT($F$6/$F$8,B16,$F$7*$F$8,$F$5)</f>
        <v>5563.2187662369688</v>
      </c>
      <c r="F16" s="173">
        <f>(H15*$F$6)/$F$8</f>
        <v>1830.6904471353666</v>
      </c>
      <c r="G16" s="655">
        <f t="shared" ref="G16:G74" si="1">-IPMT($F$6/$F$8,B16,$F$7*$F$8,$F$5)</f>
        <v>1830.6904471353678</v>
      </c>
      <c r="H16" s="601">
        <f>H15-D16</f>
        <v>373200.32202039048</v>
      </c>
      <c r="I16" s="465">
        <f>I15+F16</f>
        <v>3688.1404471353667</v>
      </c>
      <c r="K16" s="685" t="s">
        <v>360</v>
      </c>
      <c r="L16" s="686"/>
    </row>
    <row r="17" spans="2:9" ht="15.75" thickBot="1" x14ac:dyDescent="0.3">
      <c r="B17" s="464">
        <v>3</v>
      </c>
      <c r="C17" s="172">
        <f t="shared" si="0"/>
        <v>7393.9092133724353</v>
      </c>
      <c r="D17" s="173">
        <f t="shared" ref="D17:D26" si="2">C17-F17</f>
        <v>5590.1076569405477</v>
      </c>
      <c r="E17" s="655">
        <f t="shared" ref="E17:E55" si="3">-PPMT($F$6/$F$8,B17,$F$7*$F$8,$F$5)</f>
        <v>5590.1076569404477</v>
      </c>
      <c r="F17" s="173">
        <f>(H16*$F$6)/$F$8</f>
        <v>1803.8015564318875</v>
      </c>
      <c r="G17" s="655">
        <f t="shared" si="1"/>
        <v>1803.8015564318891</v>
      </c>
      <c r="H17" s="601">
        <f t="shared" ref="H17:H26" si="4">H16-D17</f>
        <v>367610.21436344995</v>
      </c>
      <c r="I17" s="465">
        <f t="shared" ref="I17:I26" si="5">I16+F17</f>
        <v>5491.9420035672538</v>
      </c>
    </row>
    <row r="18" spans="2:9" ht="15.75" thickBot="1" x14ac:dyDescent="0.3">
      <c r="B18" s="464">
        <v>4</v>
      </c>
      <c r="C18" s="172">
        <f t="shared" si="0"/>
        <v>7393.9092133724353</v>
      </c>
      <c r="D18" s="173">
        <f t="shared" si="2"/>
        <v>5617.1265106157607</v>
      </c>
      <c r="E18" s="655">
        <f t="shared" si="3"/>
        <v>5617.1265106156607</v>
      </c>
      <c r="F18" s="173">
        <f t="shared" ref="F18:F26" si="6">(H17*$F$6)/$F$8</f>
        <v>1776.7827027566748</v>
      </c>
      <c r="G18" s="655">
        <f t="shared" si="1"/>
        <v>1776.7827027566766</v>
      </c>
      <c r="H18" s="601">
        <f t="shared" si="4"/>
        <v>361993.0878528342</v>
      </c>
      <c r="I18" s="465">
        <f t="shared" si="5"/>
        <v>7268.7247063239283</v>
      </c>
    </row>
    <row r="19" spans="2:9" ht="15.75" thickBot="1" x14ac:dyDescent="0.3">
      <c r="B19" s="464">
        <v>5</v>
      </c>
      <c r="C19" s="172">
        <f t="shared" si="0"/>
        <v>7393.9092133724353</v>
      </c>
      <c r="D19" s="173">
        <f t="shared" si="2"/>
        <v>5644.2759554170698</v>
      </c>
      <c r="E19" s="655">
        <f t="shared" si="3"/>
        <v>5644.2759554169688</v>
      </c>
      <c r="F19" s="173">
        <f t="shared" si="6"/>
        <v>1749.6332579553655</v>
      </c>
      <c r="G19" s="655">
        <f t="shared" si="1"/>
        <v>1749.6332579553675</v>
      </c>
      <c r="H19" s="601">
        <f t="shared" si="4"/>
        <v>356348.81189741712</v>
      </c>
      <c r="I19" s="465">
        <f t="shared" si="5"/>
        <v>9018.3579642792938</v>
      </c>
    </row>
    <row r="20" spans="2:9" ht="15.75" thickBot="1" x14ac:dyDescent="0.3">
      <c r="B20" s="464">
        <v>6</v>
      </c>
      <c r="C20" s="172">
        <f t="shared" si="0"/>
        <v>7393.9092133724353</v>
      </c>
      <c r="D20" s="173">
        <f t="shared" si="2"/>
        <v>5671.5566225349194</v>
      </c>
      <c r="E20" s="655">
        <f t="shared" si="3"/>
        <v>5671.5566225348184</v>
      </c>
      <c r="F20" s="173">
        <f t="shared" si="6"/>
        <v>1722.3525908375161</v>
      </c>
      <c r="G20" s="655">
        <f t="shared" si="1"/>
        <v>1722.3525908375186</v>
      </c>
      <c r="H20" s="601">
        <f t="shared" si="4"/>
        <v>350677.25527488219</v>
      </c>
      <c r="I20" s="465">
        <f t="shared" si="5"/>
        <v>10740.71055511681</v>
      </c>
    </row>
    <row r="21" spans="2:9" ht="15.75" thickBot="1" x14ac:dyDescent="0.3">
      <c r="B21" s="464">
        <v>7</v>
      </c>
      <c r="C21" s="172">
        <f t="shared" si="0"/>
        <v>7393.9092133724353</v>
      </c>
      <c r="D21" s="173">
        <f t="shared" si="2"/>
        <v>5698.9691462105047</v>
      </c>
      <c r="E21" s="655">
        <f t="shared" si="3"/>
        <v>5698.9691462104029</v>
      </c>
      <c r="F21" s="173">
        <f t="shared" si="6"/>
        <v>1694.9400671619305</v>
      </c>
      <c r="G21" s="655">
        <f t="shared" si="1"/>
        <v>1694.9400671619339</v>
      </c>
      <c r="H21" s="601">
        <f t="shared" si="4"/>
        <v>344978.28612867167</v>
      </c>
      <c r="I21" s="465">
        <f t="shared" si="5"/>
        <v>12435.650622278739</v>
      </c>
    </row>
    <row r="22" spans="2:9" ht="15.75" thickBot="1" x14ac:dyDescent="0.3">
      <c r="B22" s="464">
        <v>8</v>
      </c>
      <c r="C22" s="172">
        <f t="shared" si="0"/>
        <v>7393.9092133724353</v>
      </c>
      <c r="D22" s="173">
        <f t="shared" si="2"/>
        <v>5726.5141637505221</v>
      </c>
      <c r="E22" s="655">
        <f t="shared" si="3"/>
        <v>5726.5141637504194</v>
      </c>
      <c r="F22" s="173">
        <f t="shared" si="6"/>
        <v>1667.3950496219131</v>
      </c>
      <c r="G22" s="655">
        <f t="shared" si="1"/>
        <v>1667.395049621917</v>
      </c>
      <c r="H22" s="601">
        <f t="shared" si="4"/>
        <v>339251.77196492115</v>
      </c>
      <c r="I22" s="465">
        <f t="shared" si="5"/>
        <v>14103.045671900652</v>
      </c>
    </row>
    <row r="23" spans="2:9" ht="15.75" thickBot="1" x14ac:dyDescent="0.3">
      <c r="B23" s="464">
        <v>9</v>
      </c>
      <c r="C23" s="172">
        <f t="shared" si="0"/>
        <v>7393.9092133724353</v>
      </c>
      <c r="D23" s="173">
        <f t="shared" si="2"/>
        <v>5754.1923155419827</v>
      </c>
      <c r="E23" s="655">
        <f t="shared" si="3"/>
        <v>5754.1923155418799</v>
      </c>
      <c r="F23" s="173">
        <f t="shared" si="6"/>
        <v>1639.7168978304524</v>
      </c>
      <c r="G23" s="655">
        <f t="shared" si="1"/>
        <v>1639.7168978304564</v>
      </c>
      <c r="H23" s="601">
        <f t="shared" si="4"/>
        <v>333497.57964937919</v>
      </c>
      <c r="I23" s="465">
        <f t="shared" si="5"/>
        <v>15742.762569731105</v>
      </c>
    </row>
    <row r="24" spans="2:9" ht="15.75" thickBot="1" x14ac:dyDescent="0.3">
      <c r="B24" s="464">
        <v>10</v>
      </c>
      <c r="C24" s="172">
        <f t="shared" si="0"/>
        <v>7393.9092133724353</v>
      </c>
      <c r="D24" s="173">
        <f t="shared" si="2"/>
        <v>5782.0042450671026</v>
      </c>
      <c r="E24" s="655">
        <f t="shared" si="3"/>
        <v>5782.0042450669989</v>
      </c>
      <c r="F24" s="173">
        <f t="shared" si="6"/>
        <v>1611.9049683053329</v>
      </c>
      <c r="G24" s="655">
        <f t="shared" si="1"/>
        <v>1611.9049683053377</v>
      </c>
      <c r="H24" s="601">
        <f t="shared" si="4"/>
        <v>327715.57540431211</v>
      </c>
      <c r="I24" s="465">
        <f t="shared" si="5"/>
        <v>17354.66753803644</v>
      </c>
    </row>
    <row r="25" spans="2:9" ht="15.75" thickBot="1" x14ac:dyDescent="0.3">
      <c r="B25" s="464">
        <v>11</v>
      </c>
      <c r="C25" s="172">
        <f t="shared" si="0"/>
        <v>7393.9092133724353</v>
      </c>
      <c r="D25" s="173">
        <f t="shared" si="2"/>
        <v>5809.9505989182599</v>
      </c>
      <c r="E25" s="655">
        <f t="shared" si="3"/>
        <v>5809.9505989181562</v>
      </c>
      <c r="F25" s="173">
        <f t="shared" si="6"/>
        <v>1583.9586144541754</v>
      </c>
      <c r="G25" s="655">
        <f t="shared" si="1"/>
        <v>1583.9586144541804</v>
      </c>
      <c r="H25" s="601">
        <f t="shared" si="4"/>
        <v>321905.62480539386</v>
      </c>
      <c r="I25" s="465">
        <f t="shared" si="5"/>
        <v>18938.626152490615</v>
      </c>
    </row>
    <row r="26" spans="2:9" ht="15.75" thickBot="1" x14ac:dyDescent="0.3">
      <c r="B26" s="464">
        <v>12</v>
      </c>
      <c r="C26" s="172">
        <f t="shared" si="0"/>
        <v>7393.9092133724353</v>
      </c>
      <c r="D26" s="173">
        <f t="shared" si="2"/>
        <v>5838.0320268130317</v>
      </c>
      <c r="E26" s="655">
        <f t="shared" si="3"/>
        <v>5838.0320268129271</v>
      </c>
      <c r="F26" s="173">
        <f t="shared" si="6"/>
        <v>1555.8771865594038</v>
      </c>
      <c r="G26" s="655">
        <f t="shared" si="1"/>
        <v>1555.877186559409</v>
      </c>
      <c r="H26" s="601">
        <f t="shared" si="4"/>
        <v>316067.59277858085</v>
      </c>
      <c r="I26" s="465">
        <f t="shared" si="5"/>
        <v>20494.503339050018</v>
      </c>
    </row>
    <row r="27" spans="2:9" ht="15.75" thickBot="1" x14ac:dyDescent="0.3">
      <c r="B27" s="464">
        <v>13</v>
      </c>
      <c r="C27" s="172">
        <f t="shared" si="0"/>
        <v>7393.9092133724353</v>
      </c>
      <c r="D27" s="173">
        <f t="shared" ref="D27:D74" si="7">C27-F27</f>
        <v>5866.2491816092943</v>
      </c>
      <c r="E27" s="655">
        <f t="shared" si="3"/>
        <v>5866.2491816091897</v>
      </c>
      <c r="F27" s="173">
        <f t="shared" ref="F27:F74" si="8">(H26*$F$6)/$F$8</f>
        <v>1527.660031763141</v>
      </c>
      <c r="G27" s="655">
        <f t="shared" si="1"/>
        <v>1527.6600317631464</v>
      </c>
      <c r="H27" s="601">
        <f t="shared" ref="H27:H74" si="9">H26-D27</f>
        <v>310201.34359697154</v>
      </c>
      <c r="I27" s="465">
        <f t="shared" ref="I27:I74" si="10">I26+F27</f>
        <v>22022.163370813159</v>
      </c>
    </row>
    <row r="28" spans="2:9" ht="15.75" thickBot="1" x14ac:dyDescent="0.3">
      <c r="B28" s="464">
        <v>14</v>
      </c>
      <c r="C28" s="172">
        <f t="shared" si="0"/>
        <v>7393.9092133724353</v>
      </c>
      <c r="D28" s="173">
        <f t="shared" si="7"/>
        <v>5894.6027193204063</v>
      </c>
      <c r="E28" s="655">
        <f t="shared" si="3"/>
        <v>5894.6027193203008</v>
      </c>
      <c r="F28" s="173">
        <f t="shared" si="8"/>
        <v>1499.3064940520292</v>
      </c>
      <c r="G28" s="655">
        <f t="shared" si="1"/>
        <v>1499.3064940520355</v>
      </c>
      <c r="H28" s="601">
        <f t="shared" si="9"/>
        <v>304306.74087765114</v>
      </c>
      <c r="I28" s="465">
        <f t="shared" si="10"/>
        <v>23521.46986486519</v>
      </c>
    </row>
    <row r="29" spans="2:9" ht="15.75" thickBot="1" x14ac:dyDescent="0.3">
      <c r="B29" s="464">
        <v>15</v>
      </c>
      <c r="C29" s="172">
        <f t="shared" si="0"/>
        <v>7393.9092133724353</v>
      </c>
      <c r="D29" s="173">
        <f t="shared" si="7"/>
        <v>5923.0932991304544</v>
      </c>
      <c r="E29" s="655">
        <f t="shared" si="3"/>
        <v>5923.0932991303489</v>
      </c>
      <c r="F29" s="173">
        <f t="shared" si="8"/>
        <v>1470.8159142419806</v>
      </c>
      <c r="G29" s="655">
        <f t="shared" si="1"/>
        <v>1470.8159142419877</v>
      </c>
      <c r="H29" s="601">
        <f t="shared" si="9"/>
        <v>298383.6475785207</v>
      </c>
      <c r="I29" s="465">
        <f t="shared" si="10"/>
        <v>24992.285779107169</v>
      </c>
    </row>
    <row r="30" spans="2:9" ht="15.75" thickBot="1" x14ac:dyDescent="0.3">
      <c r="B30" s="464">
        <v>16</v>
      </c>
      <c r="C30" s="172">
        <f t="shared" si="0"/>
        <v>7393.9092133724353</v>
      </c>
      <c r="D30" s="173">
        <f t="shared" si="7"/>
        <v>5951.721583409585</v>
      </c>
      <c r="E30" s="655">
        <f t="shared" si="3"/>
        <v>5951.7215834094786</v>
      </c>
      <c r="F30" s="173">
        <f t="shared" si="8"/>
        <v>1442.1876299628502</v>
      </c>
      <c r="G30" s="655">
        <f t="shared" si="1"/>
        <v>1442.1876299628575</v>
      </c>
      <c r="H30" s="601">
        <f t="shared" si="9"/>
        <v>292431.92599511112</v>
      </c>
      <c r="I30" s="465">
        <f t="shared" si="10"/>
        <v>26434.473409070019</v>
      </c>
    </row>
    <row r="31" spans="2:9" ht="15.75" thickBot="1" x14ac:dyDescent="0.3">
      <c r="B31" s="464">
        <v>17</v>
      </c>
      <c r="C31" s="172">
        <f t="shared" si="0"/>
        <v>7393.9092133724353</v>
      </c>
      <c r="D31" s="173">
        <f t="shared" si="7"/>
        <v>5980.488237729398</v>
      </c>
      <c r="E31" s="655">
        <f t="shared" si="3"/>
        <v>5980.4882377292915</v>
      </c>
      <c r="F31" s="173">
        <f t="shared" si="8"/>
        <v>1413.4209756430371</v>
      </c>
      <c r="G31" s="655">
        <f t="shared" si="1"/>
        <v>1413.420975643045</v>
      </c>
      <c r="H31" s="601">
        <f t="shared" si="9"/>
        <v>286451.4377573817</v>
      </c>
      <c r="I31" s="465">
        <f t="shared" si="10"/>
        <v>27847.894384713054</v>
      </c>
    </row>
    <row r="32" spans="2:9" ht="15.75" thickBot="1" x14ac:dyDescent="0.3">
      <c r="B32" s="464">
        <v>18</v>
      </c>
      <c r="C32" s="172">
        <f t="shared" si="0"/>
        <v>7393.9092133724353</v>
      </c>
      <c r="D32" s="173">
        <f t="shared" si="7"/>
        <v>6009.3939308784238</v>
      </c>
      <c r="E32" s="655">
        <f t="shared" si="3"/>
        <v>6009.3939308783156</v>
      </c>
      <c r="F32" s="173">
        <f t="shared" si="8"/>
        <v>1384.5152824940117</v>
      </c>
      <c r="G32" s="655">
        <f t="shared" si="1"/>
        <v>1384.5152824940201</v>
      </c>
      <c r="H32" s="601">
        <f t="shared" si="9"/>
        <v>280442.04382650327</v>
      </c>
      <c r="I32" s="465">
        <f t="shared" si="10"/>
        <v>29232.409667207066</v>
      </c>
    </row>
    <row r="33" spans="2:9" ht="15.75" thickBot="1" x14ac:dyDescent="0.3">
      <c r="B33" s="464">
        <v>19</v>
      </c>
      <c r="C33" s="172">
        <f t="shared" si="0"/>
        <v>7393.9092133724353</v>
      </c>
      <c r="D33" s="173">
        <f t="shared" si="7"/>
        <v>6038.4393348776694</v>
      </c>
      <c r="E33" s="655">
        <f t="shared" si="3"/>
        <v>6038.439334877562</v>
      </c>
      <c r="F33" s="173">
        <f t="shared" si="8"/>
        <v>1355.4698784947659</v>
      </c>
      <c r="G33" s="655">
        <f t="shared" si="1"/>
        <v>1355.4698784947748</v>
      </c>
      <c r="H33" s="601">
        <f t="shared" si="9"/>
        <v>274403.60449162562</v>
      </c>
      <c r="I33" s="465">
        <f t="shared" si="10"/>
        <v>30587.879545701831</v>
      </c>
    </row>
    <row r="34" spans="2:9" ht="15.75" thickBot="1" x14ac:dyDescent="0.3">
      <c r="B34" s="464">
        <v>20</v>
      </c>
      <c r="C34" s="172">
        <f t="shared" si="0"/>
        <v>7393.9092133724353</v>
      </c>
      <c r="D34" s="173">
        <f t="shared" si="7"/>
        <v>6067.6251249962443</v>
      </c>
      <c r="E34" s="655">
        <f t="shared" si="3"/>
        <v>6067.625124996136</v>
      </c>
      <c r="F34" s="173">
        <f t="shared" si="8"/>
        <v>1326.2840883761905</v>
      </c>
      <c r="G34" s="655">
        <f t="shared" si="1"/>
        <v>1326.2840883761999</v>
      </c>
      <c r="H34" s="601">
        <f t="shared" si="9"/>
        <v>268335.97936662938</v>
      </c>
      <c r="I34" s="465">
        <f t="shared" si="10"/>
        <v>31914.163634078021</v>
      </c>
    </row>
    <row r="35" spans="2:9" ht="15.75" thickBot="1" x14ac:dyDescent="0.3">
      <c r="B35" s="464">
        <v>21</v>
      </c>
      <c r="C35" s="172">
        <f t="shared" si="0"/>
        <v>7393.9092133724353</v>
      </c>
      <c r="D35" s="173">
        <f t="shared" si="7"/>
        <v>6096.95197976706</v>
      </c>
      <c r="E35" s="655">
        <f t="shared" si="3"/>
        <v>6096.9519797669509</v>
      </c>
      <c r="F35" s="173">
        <f t="shared" si="8"/>
        <v>1296.9572336053754</v>
      </c>
      <c r="G35" s="655">
        <f t="shared" si="1"/>
        <v>1296.9572336053855</v>
      </c>
      <c r="H35" s="601">
        <f t="shared" si="9"/>
        <v>262239.02738686232</v>
      </c>
      <c r="I35" s="465">
        <f t="shared" si="10"/>
        <v>33211.120867683399</v>
      </c>
    </row>
    <row r="36" spans="2:9" ht="15.75" thickBot="1" x14ac:dyDescent="0.3">
      <c r="B36" s="464">
        <v>22</v>
      </c>
      <c r="C36" s="172">
        <f t="shared" si="0"/>
        <v>7393.9092133724353</v>
      </c>
      <c r="D36" s="173">
        <f t="shared" si="7"/>
        <v>6126.4205810026006</v>
      </c>
      <c r="E36" s="655">
        <f t="shared" si="3"/>
        <v>6126.4205810024914</v>
      </c>
      <c r="F36" s="173">
        <f t="shared" si="8"/>
        <v>1267.4886323698345</v>
      </c>
      <c r="G36" s="655">
        <f t="shared" si="1"/>
        <v>1267.4886323698449</v>
      </c>
      <c r="H36" s="601">
        <f t="shared" si="9"/>
        <v>256112.60680585972</v>
      </c>
      <c r="I36" s="465">
        <f t="shared" si="10"/>
        <v>34478.609500053237</v>
      </c>
    </row>
    <row r="37" spans="2:9" ht="15.75" thickBot="1" x14ac:dyDescent="0.3">
      <c r="B37" s="464">
        <v>23</v>
      </c>
      <c r="C37" s="172">
        <f t="shared" si="0"/>
        <v>7393.9092133724353</v>
      </c>
      <c r="D37" s="173">
        <f t="shared" si="7"/>
        <v>6156.0316138107801</v>
      </c>
      <c r="E37" s="655">
        <f t="shared" si="3"/>
        <v>6156.0316138106691</v>
      </c>
      <c r="F37" s="173">
        <f t="shared" si="8"/>
        <v>1237.8775995616554</v>
      </c>
      <c r="G37" s="655">
        <f t="shared" si="1"/>
        <v>1237.8775995616663</v>
      </c>
      <c r="H37" s="601">
        <f t="shared" si="9"/>
        <v>249956.57519204894</v>
      </c>
      <c r="I37" s="465">
        <f t="shared" si="10"/>
        <v>35716.487099614889</v>
      </c>
    </row>
    <row r="38" spans="2:9" ht="15.75" thickBot="1" x14ac:dyDescent="0.3">
      <c r="B38" s="464">
        <v>24</v>
      </c>
      <c r="C38" s="172">
        <f t="shared" si="0"/>
        <v>7393.9092133724353</v>
      </c>
      <c r="D38" s="173">
        <f t="shared" si="7"/>
        <v>6185.7857666108648</v>
      </c>
      <c r="E38" s="655">
        <f t="shared" si="3"/>
        <v>6185.7857666107557</v>
      </c>
      <c r="F38" s="173">
        <f t="shared" si="8"/>
        <v>1208.12344676157</v>
      </c>
      <c r="G38" s="655">
        <f t="shared" si="1"/>
        <v>1208.1234467615816</v>
      </c>
      <c r="H38" s="601">
        <f t="shared" si="9"/>
        <v>243770.78942543807</v>
      </c>
      <c r="I38" s="465">
        <f t="shared" si="10"/>
        <v>36924.610546376462</v>
      </c>
    </row>
    <row r="39" spans="2:9" ht="15.75" thickBot="1" x14ac:dyDescent="0.3">
      <c r="B39" s="464">
        <v>25</v>
      </c>
      <c r="C39" s="172">
        <f t="shared" si="0"/>
        <v>7393.9092133724353</v>
      </c>
      <c r="D39" s="173">
        <f t="shared" si="7"/>
        <v>6215.6837311494846</v>
      </c>
      <c r="E39" s="655">
        <f t="shared" si="3"/>
        <v>6215.6837311493737</v>
      </c>
      <c r="F39" s="173">
        <f t="shared" si="8"/>
        <v>1178.2254822229509</v>
      </c>
      <c r="G39" s="655">
        <f t="shared" si="1"/>
        <v>1178.2254822229627</v>
      </c>
      <c r="H39" s="601">
        <f t="shared" si="9"/>
        <v>237555.10569428859</v>
      </c>
      <c r="I39" s="465">
        <f t="shared" si="10"/>
        <v>38102.836028599413</v>
      </c>
    </row>
    <row r="40" spans="2:9" ht="15.75" thickBot="1" x14ac:dyDescent="0.3">
      <c r="B40" s="464">
        <v>26</v>
      </c>
      <c r="C40" s="172">
        <f t="shared" si="0"/>
        <v>7393.9092133724353</v>
      </c>
      <c r="D40" s="173">
        <f t="shared" si="7"/>
        <v>6245.7262025167074</v>
      </c>
      <c r="E40" s="655">
        <f t="shared" si="3"/>
        <v>6245.7262025165955</v>
      </c>
      <c r="F40" s="173">
        <f t="shared" si="8"/>
        <v>1148.1830108557283</v>
      </c>
      <c r="G40" s="655">
        <f t="shared" si="1"/>
        <v>1148.1830108557408</v>
      </c>
      <c r="H40" s="601">
        <f t="shared" si="9"/>
        <v>231309.37949177189</v>
      </c>
      <c r="I40" s="465">
        <f t="shared" si="10"/>
        <v>39251.019039455139</v>
      </c>
    </row>
    <row r="41" spans="2:9" ht="15.75" thickBot="1" x14ac:dyDescent="0.3">
      <c r="B41" s="464">
        <v>27</v>
      </c>
      <c r="C41" s="172">
        <f t="shared" si="0"/>
        <v>7393.9092133724353</v>
      </c>
      <c r="D41" s="173">
        <f t="shared" si="7"/>
        <v>6275.9138791622045</v>
      </c>
      <c r="E41" s="655">
        <f t="shared" si="3"/>
        <v>6275.9138791620926</v>
      </c>
      <c r="F41" s="173">
        <f t="shared" si="8"/>
        <v>1117.9953342102308</v>
      </c>
      <c r="G41" s="655">
        <f t="shared" si="1"/>
        <v>1117.995334210244</v>
      </c>
      <c r="H41" s="601">
        <f t="shared" si="9"/>
        <v>225033.4656126097</v>
      </c>
      <c r="I41" s="465">
        <f t="shared" si="10"/>
        <v>40369.01437366537</v>
      </c>
    </row>
    <row r="42" spans="2:9" ht="15.75" thickBot="1" x14ac:dyDescent="0.3">
      <c r="B42" s="464">
        <v>28</v>
      </c>
      <c r="C42" s="172">
        <f t="shared" si="0"/>
        <v>7393.9092133724353</v>
      </c>
      <c r="D42" s="173">
        <f t="shared" si="7"/>
        <v>6306.2474629114886</v>
      </c>
      <c r="E42" s="655">
        <f t="shared" si="3"/>
        <v>6306.2474629113758</v>
      </c>
      <c r="F42" s="173">
        <f t="shared" si="8"/>
        <v>1087.6617504609469</v>
      </c>
      <c r="G42" s="655">
        <f t="shared" si="1"/>
        <v>1087.6617504609605</v>
      </c>
      <c r="H42" s="601">
        <f t="shared" si="9"/>
        <v>218727.21814969819</v>
      </c>
      <c r="I42" s="465">
        <f t="shared" si="10"/>
        <v>41456.676124126316</v>
      </c>
    </row>
    <row r="43" spans="2:9" ht="15.75" thickBot="1" x14ac:dyDescent="0.3">
      <c r="B43" s="464">
        <v>29</v>
      </c>
      <c r="C43" s="172">
        <f t="shared" si="0"/>
        <v>7393.9092133724353</v>
      </c>
      <c r="D43" s="173">
        <f t="shared" si="7"/>
        <v>6336.7276589822268</v>
      </c>
      <c r="E43" s="655">
        <f t="shared" si="3"/>
        <v>6336.727658982114</v>
      </c>
      <c r="F43" s="173">
        <f t="shared" si="8"/>
        <v>1057.181554390208</v>
      </c>
      <c r="G43" s="655">
        <f t="shared" si="1"/>
        <v>1057.1815543902223</v>
      </c>
      <c r="H43" s="601">
        <f t="shared" si="9"/>
        <v>212390.49049071598</v>
      </c>
      <c r="I43" s="465">
        <f t="shared" si="10"/>
        <v>42513.857678516521</v>
      </c>
    </row>
    <row r="44" spans="2:9" ht="15.75" thickBot="1" x14ac:dyDescent="0.3">
      <c r="B44" s="464">
        <v>30</v>
      </c>
      <c r="C44" s="172">
        <f t="shared" si="0"/>
        <v>7393.9092133724353</v>
      </c>
      <c r="D44" s="173">
        <f t="shared" si="7"/>
        <v>6367.3551760006412</v>
      </c>
      <c r="E44" s="655">
        <f t="shared" si="3"/>
        <v>6367.3551760005275</v>
      </c>
      <c r="F44" s="173">
        <f t="shared" si="8"/>
        <v>1026.5540373717938</v>
      </c>
      <c r="G44" s="655">
        <f t="shared" si="1"/>
        <v>1026.5540373718088</v>
      </c>
      <c r="H44" s="601">
        <f t="shared" si="9"/>
        <v>206023.13531471533</v>
      </c>
      <c r="I44" s="465">
        <f t="shared" si="10"/>
        <v>43540.411715888316</v>
      </c>
    </row>
    <row r="45" spans="2:9" ht="15.75" thickBot="1" x14ac:dyDescent="0.3">
      <c r="B45" s="464">
        <v>31</v>
      </c>
      <c r="C45" s="172">
        <f t="shared" si="0"/>
        <v>7393.9092133724353</v>
      </c>
      <c r="D45" s="173">
        <f t="shared" si="7"/>
        <v>6398.1307260179783</v>
      </c>
      <c r="E45" s="655">
        <f t="shared" si="3"/>
        <v>6398.1307260178646</v>
      </c>
      <c r="F45" s="173">
        <f t="shared" si="8"/>
        <v>995.77848735445741</v>
      </c>
      <c r="G45" s="655">
        <f t="shared" si="1"/>
        <v>995.77848735447265</v>
      </c>
      <c r="H45" s="601">
        <f t="shared" si="9"/>
        <v>199625.00458869734</v>
      </c>
      <c r="I45" s="465">
        <f t="shared" si="10"/>
        <v>44536.190203242775</v>
      </c>
    </row>
    <row r="46" spans="2:9" ht="15.75" thickBot="1" x14ac:dyDescent="0.3">
      <c r="B46" s="464">
        <v>32</v>
      </c>
      <c r="C46" s="172">
        <f t="shared" si="0"/>
        <v>7393.9092133724353</v>
      </c>
      <c r="D46" s="173">
        <f t="shared" si="7"/>
        <v>6429.0550245270642</v>
      </c>
      <c r="E46" s="655">
        <f t="shared" si="3"/>
        <v>6429.0550245269496</v>
      </c>
      <c r="F46" s="173">
        <f t="shared" si="8"/>
        <v>964.85418884537057</v>
      </c>
      <c r="G46" s="655">
        <f t="shared" si="1"/>
        <v>964.85418884538637</v>
      </c>
      <c r="H46" s="601">
        <f t="shared" si="9"/>
        <v>193195.94956417027</v>
      </c>
      <c r="I46" s="465">
        <f t="shared" si="10"/>
        <v>45501.044392088144</v>
      </c>
    </row>
    <row r="47" spans="2:9" ht="15.75" thickBot="1" x14ac:dyDescent="0.3">
      <c r="B47" s="464">
        <v>33</v>
      </c>
      <c r="C47" s="172">
        <f t="shared" ref="C47:C74" si="11">$G$10</f>
        <v>7393.9092133724353</v>
      </c>
      <c r="D47" s="173">
        <f t="shared" si="7"/>
        <v>6460.128790478946</v>
      </c>
      <c r="E47" s="655">
        <f t="shared" si="3"/>
        <v>6460.1287904788296</v>
      </c>
      <c r="F47" s="173">
        <f t="shared" si="8"/>
        <v>933.78042289348969</v>
      </c>
      <c r="G47" s="655">
        <f t="shared" si="1"/>
        <v>933.7804228935064</v>
      </c>
      <c r="H47" s="601">
        <f t="shared" si="9"/>
        <v>186735.82077369132</v>
      </c>
      <c r="I47" s="465">
        <f t="shared" si="10"/>
        <v>46434.824814981635</v>
      </c>
    </row>
    <row r="48" spans="2:9" ht="15.75" thickBot="1" x14ac:dyDescent="0.3">
      <c r="B48" s="464">
        <v>34</v>
      </c>
      <c r="C48" s="172">
        <f t="shared" si="11"/>
        <v>7393.9092133724353</v>
      </c>
      <c r="D48" s="173">
        <f t="shared" si="7"/>
        <v>6491.3527462995935</v>
      </c>
      <c r="E48" s="655">
        <f t="shared" si="3"/>
        <v>6491.352746299478</v>
      </c>
      <c r="F48" s="173">
        <f t="shared" si="8"/>
        <v>902.55646707284143</v>
      </c>
      <c r="G48" s="655">
        <f t="shared" si="1"/>
        <v>902.5564670728586</v>
      </c>
      <c r="H48" s="601">
        <f t="shared" si="9"/>
        <v>180244.46802739173</v>
      </c>
      <c r="I48" s="465">
        <f t="shared" si="10"/>
        <v>47337.381282054477</v>
      </c>
    </row>
    <row r="49" spans="2:9" ht="15.75" thickBot="1" x14ac:dyDescent="0.3">
      <c r="B49" s="464">
        <v>35</v>
      </c>
      <c r="C49" s="172">
        <f t="shared" si="11"/>
        <v>7393.9092133724353</v>
      </c>
      <c r="D49" s="173">
        <f t="shared" si="7"/>
        <v>6522.7276179067085</v>
      </c>
      <c r="E49" s="655">
        <f t="shared" si="3"/>
        <v>6522.7276179065921</v>
      </c>
      <c r="F49" s="173">
        <f t="shared" si="8"/>
        <v>871.18159546572679</v>
      </c>
      <c r="G49" s="655">
        <f t="shared" si="1"/>
        <v>871.18159546574452</v>
      </c>
      <c r="H49" s="601">
        <f t="shared" si="9"/>
        <v>173721.74040948504</v>
      </c>
      <c r="I49" s="465">
        <f t="shared" si="10"/>
        <v>48208.562877520206</v>
      </c>
    </row>
    <row r="50" spans="2:9" ht="15.75" thickBot="1" x14ac:dyDescent="0.3">
      <c r="B50" s="464">
        <v>36</v>
      </c>
      <c r="C50" s="172">
        <f t="shared" si="11"/>
        <v>7393.9092133724353</v>
      </c>
      <c r="D50" s="173">
        <f t="shared" si="7"/>
        <v>6554.2541347265906</v>
      </c>
      <c r="E50" s="655">
        <f t="shared" si="3"/>
        <v>6554.2541347264741</v>
      </c>
      <c r="F50" s="173">
        <f t="shared" si="8"/>
        <v>839.65507864584436</v>
      </c>
      <c r="G50" s="655">
        <f t="shared" si="1"/>
        <v>839.65507864586255</v>
      </c>
      <c r="H50" s="601">
        <f t="shared" si="9"/>
        <v>167167.48627475844</v>
      </c>
      <c r="I50" s="465">
        <f t="shared" si="10"/>
        <v>49048.217956166052</v>
      </c>
    </row>
    <row r="51" spans="2:9" ht="15.75" thickBot="1" x14ac:dyDescent="0.3">
      <c r="B51" s="464">
        <v>37</v>
      </c>
      <c r="C51" s="172">
        <f t="shared" si="11"/>
        <v>7393.9092133724353</v>
      </c>
      <c r="D51" s="173">
        <f t="shared" si="7"/>
        <v>6585.9330297111028</v>
      </c>
      <c r="E51" s="655">
        <f t="shared" si="3"/>
        <v>6585.9330297109855</v>
      </c>
      <c r="F51" s="173">
        <f t="shared" si="8"/>
        <v>807.97618366133247</v>
      </c>
      <c r="G51" s="655">
        <f t="shared" si="1"/>
        <v>807.97618366135123</v>
      </c>
      <c r="H51" s="601">
        <f t="shared" si="9"/>
        <v>160581.55324504734</v>
      </c>
      <c r="I51" s="465">
        <f t="shared" si="10"/>
        <v>49856.194139827385</v>
      </c>
    </row>
    <row r="52" spans="2:9" ht="15.75" thickBot="1" x14ac:dyDescent="0.3">
      <c r="B52" s="464">
        <v>38</v>
      </c>
      <c r="C52" s="172">
        <f t="shared" si="11"/>
        <v>7393.9092133724353</v>
      </c>
      <c r="D52" s="173">
        <f t="shared" si="7"/>
        <v>6617.7650393547065</v>
      </c>
      <c r="E52" s="655">
        <f t="shared" si="3"/>
        <v>6617.7650393545882</v>
      </c>
      <c r="F52" s="173">
        <f t="shared" si="8"/>
        <v>776.1441740177288</v>
      </c>
      <c r="G52" s="655">
        <f t="shared" si="1"/>
        <v>776.14417401774813</v>
      </c>
      <c r="H52" s="601">
        <f t="shared" si="9"/>
        <v>153963.78820569263</v>
      </c>
      <c r="I52" s="465">
        <f t="shared" si="10"/>
        <v>50632.338313845117</v>
      </c>
    </row>
    <row r="53" spans="2:9" ht="15.75" thickBot="1" x14ac:dyDescent="0.3">
      <c r="B53" s="464">
        <v>39</v>
      </c>
      <c r="C53" s="172">
        <f t="shared" si="11"/>
        <v>7393.9092133724353</v>
      </c>
      <c r="D53" s="173">
        <f t="shared" si="7"/>
        <v>6649.7509037115879</v>
      </c>
      <c r="E53" s="655">
        <f t="shared" si="3"/>
        <v>6649.7509037114687</v>
      </c>
      <c r="F53" s="173">
        <f t="shared" si="8"/>
        <v>744.15830966084775</v>
      </c>
      <c r="G53" s="655">
        <f t="shared" si="1"/>
        <v>744.15830966086776</v>
      </c>
      <c r="H53" s="601">
        <f t="shared" si="9"/>
        <v>147314.03730198104</v>
      </c>
      <c r="I53" s="465">
        <f t="shared" si="10"/>
        <v>51376.496623505962</v>
      </c>
    </row>
    <row r="54" spans="2:9" ht="15.75" thickBot="1" x14ac:dyDescent="0.3">
      <c r="B54" s="464">
        <v>40</v>
      </c>
      <c r="C54" s="172">
        <f t="shared" si="11"/>
        <v>7393.9092133724353</v>
      </c>
      <c r="D54" s="173">
        <f t="shared" si="7"/>
        <v>6681.8913664128604</v>
      </c>
      <c r="E54" s="655">
        <f t="shared" si="3"/>
        <v>6681.8913664127404</v>
      </c>
      <c r="F54" s="173">
        <f t="shared" si="8"/>
        <v>712.01784695957497</v>
      </c>
      <c r="G54" s="655">
        <f t="shared" si="1"/>
        <v>712.01784695959543</v>
      </c>
      <c r="H54" s="601">
        <f t="shared" si="9"/>
        <v>140632.14593556817</v>
      </c>
      <c r="I54" s="465">
        <f t="shared" si="10"/>
        <v>52088.514470465539</v>
      </c>
    </row>
    <row r="55" spans="2:9" ht="15.75" thickBot="1" x14ac:dyDescent="0.3">
      <c r="B55" s="464">
        <v>41</v>
      </c>
      <c r="C55" s="172">
        <f t="shared" si="11"/>
        <v>7393.9092133724353</v>
      </c>
      <c r="D55" s="173">
        <f t="shared" si="7"/>
        <v>6714.187174683856</v>
      </c>
      <c r="E55" s="655">
        <f t="shared" si="3"/>
        <v>6714.187174683736</v>
      </c>
      <c r="F55" s="173">
        <f t="shared" si="8"/>
        <v>679.72203868857957</v>
      </c>
      <c r="G55" s="655">
        <f t="shared" si="1"/>
        <v>679.72203868860083</v>
      </c>
      <c r="H55" s="601">
        <f t="shared" si="9"/>
        <v>133917.95876088433</v>
      </c>
      <c r="I55" s="465">
        <f t="shared" si="10"/>
        <v>52768.236509154121</v>
      </c>
    </row>
    <row r="56" spans="2:9" ht="15.75" thickBot="1" x14ac:dyDescent="0.3">
      <c r="B56" s="464">
        <v>42</v>
      </c>
      <c r="C56" s="172">
        <f t="shared" si="11"/>
        <v>7393.9092133724353</v>
      </c>
      <c r="D56" s="173">
        <f t="shared" si="7"/>
        <v>6746.6390793614946</v>
      </c>
      <c r="E56" s="655">
        <f>-PPMT($F$6/$F$8,B56,$F$7*$F$8,$F$5)</f>
        <v>6746.6390793613737</v>
      </c>
      <c r="F56" s="173">
        <f t="shared" si="8"/>
        <v>647.27013401094098</v>
      </c>
      <c r="G56" s="655">
        <f t="shared" si="1"/>
        <v>647.27013401096247</v>
      </c>
      <c r="H56" s="601">
        <f t="shared" si="9"/>
        <v>127171.31968152283</v>
      </c>
      <c r="I56" s="465">
        <f t="shared" si="10"/>
        <v>53415.506643165063</v>
      </c>
    </row>
    <row r="57" spans="2:9" ht="15.75" thickBot="1" x14ac:dyDescent="0.3">
      <c r="B57" s="464">
        <v>43</v>
      </c>
      <c r="C57" s="172">
        <f t="shared" si="11"/>
        <v>7393.9092133724353</v>
      </c>
      <c r="D57" s="173">
        <f t="shared" si="7"/>
        <v>6779.2478349117418</v>
      </c>
      <c r="E57" s="655">
        <f>-PPMT($F$6/$F$8,B57,$F$7*$F$8,$F$5)</f>
        <v>6779.2478349116209</v>
      </c>
      <c r="F57" s="173">
        <f t="shared" si="8"/>
        <v>614.66137846069375</v>
      </c>
      <c r="G57" s="655">
        <f t="shared" si="1"/>
        <v>614.66137846071604</v>
      </c>
      <c r="H57" s="601">
        <f t="shared" si="9"/>
        <v>120392.07184661108</v>
      </c>
      <c r="I57" s="465">
        <f t="shared" si="10"/>
        <v>54030.168021625759</v>
      </c>
    </row>
    <row r="58" spans="2:9" ht="15.75" thickBot="1" x14ac:dyDescent="0.3">
      <c r="B58" s="464">
        <v>44</v>
      </c>
      <c r="C58" s="172">
        <f t="shared" si="11"/>
        <v>7393.9092133724353</v>
      </c>
      <c r="D58" s="173">
        <f t="shared" si="7"/>
        <v>6812.0141994471487</v>
      </c>
      <c r="E58" s="655">
        <f t="shared" ref="E58:E74" si="12">-PPMT($F$6/$F$8,B58,$F$7*$F$8,$F$5)</f>
        <v>6812.0141994470268</v>
      </c>
      <c r="F58" s="173">
        <f t="shared" si="8"/>
        <v>581.89501392528689</v>
      </c>
      <c r="G58" s="655">
        <f t="shared" si="1"/>
        <v>581.89501392530985</v>
      </c>
      <c r="H58" s="601">
        <f t="shared" si="9"/>
        <v>113580.05764716394</v>
      </c>
      <c r="I58" s="465">
        <f t="shared" si="10"/>
        <v>54612.063035551044</v>
      </c>
    </row>
    <row r="59" spans="2:9" ht="15.75" thickBot="1" x14ac:dyDescent="0.3">
      <c r="B59" s="464">
        <v>45</v>
      </c>
      <c r="C59" s="172">
        <f t="shared" si="11"/>
        <v>7393.9092133724353</v>
      </c>
      <c r="D59" s="173">
        <f t="shared" si="7"/>
        <v>6844.9389347444758</v>
      </c>
      <c r="E59" s="655">
        <f t="shared" si="12"/>
        <v>6844.9389347443548</v>
      </c>
      <c r="F59" s="173">
        <f t="shared" si="8"/>
        <v>548.97027862795903</v>
      </c>
      <c r="G59" s="655">
        <f t="shared" si="1"/>
        <v>548.97027862798257</v>
      </c>
      <c r="H59" s="601">
        <f t="shared" si="9"/>
        <v>106735.11871241945</v>
      </c>
      <c r="I59" s="465">
        <f t="shared" si="10"/>
        <v>55161.033314179003</v>
      </c>
    </row>
    <row r="60" spans="2:9" ht="15.75" thickBot="1" x14ac:dyDescent="0.3">
      <c r="B60" s="464">
        <v>46</v>
      </c>
      <c r="C60" s="172">
        <f t="shared" si="11"/>
        <v>7393.9092133724353</v>
      </c>
      <c r="D60" s="173">
        <f t="shared" si="7"/>
        <v>6878.0228062624083</v>
      </c>
      <c r="E60" s="655">
        <f t="shared" si="12"/>
        <v>6878.0228062622846</v>
      </c>
      <c r="F60" s="173">
        <f t="shared" si="8"/>
        <v>515.88640711002733</v>
      </c>
      <c r="G60" s="655">
        <f t="shared" si="1"/>
        <v>515.88640711005155</v>
      </c>
      <c r="H60" s="601">
        <f t="shared" si="9"/>
        <v>99857.095906157047</v>
      </c>
      <c r="I60" s="465">
        <f t="shared" si="10"/>
        <v>55676.919721289029</v>
      </c>
    </row>
    <row r="61" spans="2:9" ht="15.75" thickBot="1" x14ac:dyDescent="0.3">
      <c r="B61" s="464">
        <v>47</v>
      </c>
      <c r="C61" s="172">
        <f t="shared" si="11"/>
        <v>7393.9092133724353</v>
      </c>
      <c r="D61" s="173">
        <f t="shared" si="7"/>
        <v>6911.2665831593431</v>
      </c>
      <c r="E61" s="655">
        <f t="shared" si="12"/>
        <v>6911.2665831592194</v>
      </c>
      <c r="F61" s="173">
        <f t="shared" si="8"/>
        <v>482.64263021309239</v>
      </c>
      <c r="G61" s="655">
        <f t="shared" si="1"/>
        <v>482.64263021311706</v>
      </c>
      <c r="H61" s="601">
        <f t="shared" si="9"/>
        <v>92945.829322997699</v>
      </c>
      <c r="I61" s="465">
        <f t="shared" si="10"/>
        <v>56159.562351502122</v>
      </c>
    </row>
    <row r="62" spans="2:9" ht="15.75" thickBot="1" x14ac:dyDescent="0.3">
      <c r="B62" s="464">
        <v>48</v>
      </c>
      <c r="C62" s="172">
        <f t="shared" si="11"/>
        <v>7393.9092133724353</v>
      </c>
      <c r="D62" s="173">
        <f t="shared" si="7"/>
        <v>6944.6710383112795</v>
      </c>
      <c r="E62" s="655">
        <f t="shared" si="12"/>
        <v>6944.6710383111558</v>
      </c>
      <c r="F62" s="173">
        <f t="shared" si="8"/>
        <v>449.23817506115557</v>
      </c>
      <c r="G62" s="655">
        <f t="shared" si="1"/>
        <v>449.23817506118087</v>
      </c>
      <c r="H62" s="601">
        <f t="shared" si="9"/>
        <v>86001.158284686418</v>
      </c>
      <c r="I62" s="465">
        <f t="shared" si="10"/>
        <v>56608.800526563275</v>
      </c>
    </row>
    <row r="63" spans="2:9" ht="15.75" thickBot="1" x14ac:dyDescent="0.3">
      <c r="B63" s="464">
        <v>49</v>
      </c>
      <c r="C63" s="172">
        <f t="shared" si="11"/>
        <v>7393.9092133724353</v>
      </c>
      <c r="D63" s="173">
        <f t="shared" si="7"/>
        <v>6978.2369483297844</v>
      </c>
      <c r="E63" s="655">
        <f t="shared" si="12"/>
        <v>6978.2369483296588</v>
      </c>
      <c r="F63" s="173">
        <f t="shared" si="8"/>
        <v>415.67226504265108</v>
      </c>
      <c r="G63" s="655">
        <f t="shared" si="1"/>
        <v>415.67226504267694</v>
      </c>
      <c r="H63" s="601">
        <f t="shared" si="9"/>
        <v>79022.921336356638</v>
      </c>
      <c r="I63" s="465">
        <f t="shared" si="10"/>
        <v>57024.472791605927</v>
      </c>
    </row>
    <row r="64" spans="2:9" ht="15.75" thickBot="1" x14ac:dyDescent="0.3">
      <c r="B64" s="464">
        <v>50</v>
      </c>
      <c r="C64" s="172">
        <f t="shared" si="11"/>
        <v>7393.9092133724353</v>
      </c>
      <c r="D64" s="173">
        <f t="shared" si="7"/>
        <v>7011.9650935800446</v>
      </c>
      <c r="E64" s="655">
        <f t="shared" si="12"/>
        <v>7011.9650935799191</v>
      </c>
      <c r="F64" s="173">
        <f t="shared" si="8"/>
        <v>381.94411979239044</v>
      </c>
      <c r="G64" s="655">
        <f t="shared" si="1"/>
        <v>381.94411979241687</v>
      </c>
      <c r="H64" s="601">
        <f t="shared" si="9"/>
        <v>72010.956242776592</v>
      </c>
      <c r="I64" s="465">
        <f t="shared" si="10"/>
        <v>57406.416911398315</v>
      </c>
    </row>
    <row r="65" spans="2:9" ht="15.75" thickBot="1" x14ac:dyDescent="0.3">
      <c r="B65" s="464">
        <v>51</v>
      </c>
      <c r="C65" s="172">
        <f t="shared" si="11"/>
        <v>7393.9092133724353</v>
      </c>
      <c r="D65" s="173">
        <f t="shared" si="7"/>
        <v>7045.8562581990154</v>
      </c>
      <c r="E65" s="655">
        <f t="shared" si="12"/>
        <v>7045.8562581988881</v>
      </c>
      <c r="F65" s="173">
        <f t="shared" si="8"/>
        <v>348.05295517342023</v>
      </c>
      <c r="G65" s="655">
        <f t="shared" si="1"/>
        <v>348.05295517344729</v>
      </c>
      <c r="H65" s="601">
        <f t="shared" si="9"/>
        <v>64965.09998457758</v>
      </c>
      <c r="I65" s="465">
        <f t="shared" si="10"/>
        <v>57754.469866571737</v>
      </c>
    </row>
    <row r="66" spans="2:9" ht="15.75" thickBot="1" x14ac:dyDescent="0.3">
      <c r="B66" s="464">
        <v>52</v>
      </c>
      <c r="C66" s="172">
        <f t="shared" si="11"/>
        <v>7393.9092133724353</v>
      </c>
      <c r="D66" s="173">
        <f t="shared" si="7"/>
        <v>7079.9112301136438</v>
      </c>
      <c r="E66" s="655">
        <f t="shared" si="12"/>
        <v>7079.9112301135174</v>
      </c>
      <c r="F66" s="173">
        <f t="shared" si="8"/>
        <v>313.99798325879163</v>
      </c>
      <c r="G66" s="655">
        <f t="shared" si="1"/>
        <v>313.99798325881932</v>
      </c>
      <c r="H66" s="601">
        <f t="shared" si="9"/>
        <v>57885.188754463939</v>
      </c>
      <c r="I66" s="465">
        <f t="shared" si="10"/>
        <v>58068.467849830529</v>
      </c>
    </row>
    <row r="67" spans="2:9" ht="15.75" thickBot="1" x14ac:dyDescent="0.3">
      <c r="B67" s="464">
        <v>53</v>
      </c>
      <c r="C67" s="172">
        <f t="shared" si="11"/>
        <v>7393.9092133724353</v>
      </c>
      <c r="D67" s="173">
        <f t="shared" si="7"/>
        <v>7114.1308010591929</v>
      </c>
      <c r="E67" s="655">
        <f t="shared" si="12"/>
        <v>7114.1308010590656</v>
      </c>
      <c r="F67" s="173">
        <f t="shared" si="8"/>
        <v>279.77841231324237</v>
      </c>
      <c r="G67" s="655">
        <f t="shared" si="1"/>
        <v>279.77841231327068</v>
      </c>
      <c r="H67" s="601">
        <f t="shared" si="9"/>
        <v>50771.057953404743</v>
      </c>
      <c r="I67" s="465">
        <f t="shared" si="10"/>
        <v>58348.246262143773</v>
      </c>
    </row>
    <row r="68" spans="2:9" ht="15.75" thickBot="1" x14ac:dyDescent="0.3">
      <c r="B68" s="464">
        <v>54</v>
      </c>
      <c r="C68" s="172">
        <f t="shared" si="11"/>
        <v>7393.9092133724353</v>
      </c>
      <c r="D68" s="173">
        <f t="shared" si="7"/>
        <v>7148.5157665976458</v>
      </c>
      <c r="E68" s="655">
        <f t="shared" si="12"/>
        <v>7148.5157665975175</v>
      </c>
      <c r="F68" s="173">
        <f t="shared" si="8"/>
        <v>245.3934467747896</v>
      </c>
      <c r="G68" s="655">
        <f t="shared" si="1"/>
        <v>245.39344677481859</v>
      </c>
      <c r="H68" s="601">
        <f t="shared" si="9"/>
        <v>43622.542186807099</v>
      </c>
      <c r="I68" s="465">
        <f t="shared" si="10"/>
        <v>58593.639708918563</v>
      </c>
    </row>
    <row r="69" spans="2:9" ht="15.75" thickBot="1" x14ac:dyDescent="0.3">
      <c r="B69" s="464">
        <v>55</v>
      </c>
      <c r="C69" s="172">
        <f t="shared" si="11"/>
        <v>7393.9092133724353</v>
      </c>
      <c r="D69" s="173">
        <f t="shared" si="7"/>
        <v>7183.0669261362009</v>
      </c>
      <c r="E69" s="655">
        <f t="shared" si="12"/>
        <v>7183.0669261360727</v>
      </c>
      <c r="F69" s="173">
        <f t="shared" si="8"/>
        <v>210.84228723623434</v>
      </c>
      <c r="G69" s="655">
        <f t="shared" si="1"/>
        <v>210.84228723626387</v>
      </c>
      <c r="H69" s="601">
        <f t="shared" si="9"/>
        <v>36439.475260670901</v>
      </c>
      <c r="I69" s="465">
        <f t="shared" si="10"/>
        <v>58804.481996154798</v>
      </c>
    </row>
    <row r="70" spans="2:9" ht="15.75" thickBot="1" x14ac:dyDescent="0.3">
      <c r="B70" s="464">
        <v>56</v>
      </c>
      <c r="C70" s="172">
        <f t="shared" si="11"/>
        <v>7393.9092133724353</v>
      </c>
      <c r="D70" s="173">
        <f t="shared" si="7"/>
        <v>7217.7850829458594</v>
      </c>
      <c r="E70" s="655">
        <f t="shared" si="12"/>
        <v>7217.7850829457293</v>
      </c>
      <c r="F70" s="173">
        <f t="shared" si="8"/>
        <v>176.12413042657602</v>
      </c>
      <c r="G70" s="655">
        <f t="shared" si="1"/>
        <v>176.12413042660617</v>
      </c>
      <c r="H70" s="601">
        <f t="shared" si="9"/>
        <v>29221.690177725042</v>
      </c>
      <c r="I70" s="465">
        <f t="shared" si="10"/>
        <v>58980.606126581377</v>
      </c>
    </row>
    <row r="71" spans="2:9" ht="15.75" thickBot="1" x14ac:dyDescent="0.3">
      <c r="B71" s="464">
        <v>57</v>
      </c>
      <c r="C71" s="172">
        <f t="shared" si="11"/>
        <v>7393.9092133724353</v>
      </c>
      <c r="D71" s="173">
        <f t="shared" si="7"/>
        <v>7252.6710441800979</v>
      </c>
      <c r="E71" s="655">
        <f t="shared" si="12"/>
        <v>7252.6710441799678</v>
      </c>
      <c r="F71" s="173">
        <f t="shared" si="8"/>
        <v>141.23816919233772</v>
      </c>
      <c r="G71" s="655">
        <f t="shared" si="1"/>
        <v>141.2381691923685</v>
      </c>
      <c r="H71" s="601">
        <f t="shared" si="9"/>
        <v>21969.019133544945</v>
      </c>
      <c r="I71" s="465">
        <f t="shared" si="10"/>
        <v>59121.844295773713</v>
      </c>
    </row>
    <row r="72" spans="2:9" ht="15.75" thickBot="1" x14ac:dyDescent="0.3">
      <c r="B72" s="464">
        <v>58</v>
      </c>
      <c r="C72" s="172">
        <f t="shared" si="11"/>
        <v>7393.9092133724353</v>
      </c>
      <c r="D72" s="173">
        <f t="shared" si="7"/>
        <v>7287.7256208936351</v>
      </c>
      <c r="E72" s="655">
        <f t="shared" si="12"/>
        <v>7287.725620893505</v>
      </c>
      <c r="F72" s="173">
        <f t="shared" si="8"/>
        <v>106.18359247880058</v>
      </c>
      <c r="G72" s="655">
        <f t="shared" si="1"/>
        <v>106.18359247883198</v>
      </c>
      <c r="H72" s="601">
        <f t="shared" si="9"/>
        <v>14681.293512651311</v>
      </c>
      <c r="I72" s="465">
        <f t="shared" si="10"/>
        <v>59228.027888252516</v>
      </c>
    </row>
    <row r="73" spans="2:9" ht="15.75" thickBot="1" x14ac:dyDescent="0.3">
      <c r="B73" s="464">
        <v>59</v>
      </c>
      <c r="C73" s="172">
        <f t="shared" si="11"/>
        <v>7393.9092133724353</v>
      </c>
      <c r="D73" s="173">
        <f t="shared" si="7"/>
        <v>7322.9496280612875</v>
      </c>
      <c r="E73" s="655">
        <f t="shared" si="12"/>
        <v>7322.9496280611556</v>
      </c>
      <c r="F73" s="173">
        <f t="shared" si="8"/>
        <v>70.959585311148004</v>
      </c>
      <c r="G73" s="655">
        <f t="shared" si="1"/>
        <v>70.959585311180049</v>
      </c>
      <c r="H73" s="601">
        <f t="shared" si="9"/>
        <v>7358.3438845900237</v>
      </c>
      <c r="I73" s="465">
        <f t="shared" si="10"/>
        <v>59298.987473563662</v>
      </c>
    </row>
    <row r="74" spans="2:9" ht="15.75" thickBot="1" x14ac:dyDescent="0.3">
      <c r="B74" s="466">
        <v>60</v>
      </c>
      <c r="C74" s="467">
        <f t="shared" si="11"/>
        <v>7393.9092133724353</v>
      </c>
      <c r="D74" s="468">
        <f t="shared" si="7"/>
        <v>7358.3438845969167</v>
      </c>
      <c r="E74" s="655">
        <f t="shared" si="12"/>
        <v>7358.3438845967848</v>
      </c>
      <c r="F74" s="468">
        <f t="shared" si="8"/>
        <v>35.565328775518445</v>
      </c>
      <c r="G74" s="655">
        <f t="shared" si="1"/>
        <v>35.565328775551123</v>
      </c>
      <c r="H74" s="602">
        <f t="shared" si="9"/>
        <v>-6.8930603447370231E-9</v>
      </c>
      <c r="I74" s="469">
        <f t="shared" si="10"/>
        <v>59334.552802339182</v>
      </c>
    </row>
    <row r="75" spans="2:9" x14ac:dyDescent="0.25">
      <c r="C75" s="177"/>
      <c r="D75" s="178"/>
      <c r="E75" s="2"/>
      <c r="F75" s="178"/>
      <c r="G75" s="2"/>
      <c r="H75" s="2"/>
      <c r="I75" s="2"/>
    </row>
    <row r="76" spans="2:9" x14ac:dyDescent="0.25">
      <c r="C76" s="177"/>
      <c r="D76" s="178"/>
      <c r="E76" s="2"/>
      <c r="F76" s="178"/>
      <c r="G76" s="2"/>
      <c r="H76" s="2"/>
      <c r="I76" s="2"/>
    </row>
    <row r="77" spans="2:9" x14ac:dyDescent="0.25">
      <c r="C77" s="177"/>
      <c r="D77" s="178"/>
      <c r="E77" s="2"/>
      <c r="F77" s="178"/>
      <c r="G77" s="2"/>
      <c r="H77" s="2"/>
      <c r="I77" s="2"/>
    </row>
    <row r="78" spans="2:9" x14ac:dyDescent="0.25">
      <c r="C78" s="177"/>
      <c r="D78" s="178"/>
      <c r="E78" s="2"/>
      <c r="F78" s="178"/>
      <c r="G78" s="2"/>
      <c r="H78" s="2"/>
      <c r="I78" s="2"/>
    </row>
    <row r="79" spans="2:9" x14ac:dyDescent="0.25">
      <c r="C79" s="177"/>
      <c r="D79" s="178"/>
      <c r="E79" s="2"/>
      <c r="F79" s="178"/>
      <c r="G79" s="2"/>
      <c r="H79" s="2"/>
      <c r="I79" s="2"/>
    </row>
    <row r="80" spans="2:9" x14ac:dyDescent="0.25">
      <c r="C80" s="177"/>
      <c r="D80" s="178"/>
      <c r="E80" s="2"/>
      <c r="F80" s="178"/>
      <c r="G80" s="2"/>
      <c r="H80" s="2"/>
      <c r="I80" s="2"/>
    </row>
    <row r="81" spans="3:9" x14ac:dyDescent="0.25">
      <c r="C81" s="177"/>
      <c r="D81" s="178"/>
      <c r="E81" s="2"/>
      <c r="F81" s="178"/>
      <c r="G81" s="2"/>
      <c r="H81" s="2"/>
      <c r="I81" s="2"/>
    </row>
    <row r="82" spans="3:9" x14ac:dyDescent="0.25">
      <c r="C82" s="177"/>
      <c r="D82" s="178"/>
      <c r="E82" s="2"/>
      <c r="F82" s="178"/>
      <c r="G82" s="2"/>
      <c r="H82" s="2"/>
      <c r="I82" s="2"/>
    </row>
    <row r="83" spans="3:9" x14ac:dyDescent="0.25">
      <c r="C83" s="177"/>
      <c r="D83" s="178"/>
      <c r="E83" s="2"/>
      <c r="F83" s="178"/>
      <c r="G83" s="2"/>
      <c r="H83" s="2"/>
      <c r="I83" s="2"/>
    </row>
    <row r="84" spans="3:9" x14ac:dyDescent="0.25">
      <c r="C84" s="177"/>
      <c r="D84" s="178"/>
      <c r="E84" s="2"/>
      <c r="F84" s="178"/>
      <c r="G84" s="2"/>
      <c r="H84" s="2"/>
      <c r="I84" s="2"/>
    </row>
    <row r="85" spans="3:9" x14ac:dyDescent="0.25">
      <c r="C85" s="177"/>
      <c r="D85" s="178"/>
      <c r="E85" s="2"/>
      <c r="F85" s="178"/>
      <c r="G85" s="2"/>
      <c r="H85" s="2"/>
      <c r="I85" s="2"/>
    </row>
    <row r="86" spans="3:9" x14ac:dyDescent="0.25">
      <c r="C86" s="177"/>
      <c r="D86" s="178"/>
      <c r="E86" s="2"/>
      <c r="F86" s="178"/>
      <c r="G86" s="2"/>
      <c r="H86" s="2"/>
      <c r="I86" s="2"/>
    </row>
    <row r="87" spans="3:9" x14ac:dyDescent="0.25">
      <c r="C87" s="177"/>
      <c r="D87" s="178"/>
      <c r="E87" s="2"/>
      <c r="F87" s="178"/>
      <c r="G87" s="2"/>
      <c r="H87" s="2"/>
      <c r="I87" s="2"/>
    </row>
    <row r="88" spans="3:9" x14ac:dyDescent="0.25">
      <c r="C88" s="177"/>
      <c r="D88" s="178"/>
      <c r="E88" s="2"/>
      <c r="F88" s="178"/>
      <c r="G88" s="2"/>
      <c r="H88" s="2"/>
      <c r="I88" s="2"/>
    </row>
    <row r="89" spans="3:9" x14ac:dyDescent="0.25">
      <c r="C89" s="177"/>
      <c r="D89" s="178"/>
      <c r="E89" s="2"/>
      <c r="F89" s="178"/>
      <c r="G89" s="2"/>
      <c r="H89" s="2"/>
      <c r="I89" s="2"/>
    </row>
    <row r="90" spans="3:9" x14ac:dyDescent="0.25">
      <c r="C90" s="177"/>
      <c r="D90" s="178"/>
      <c r="E90" s="2"/>
      <c r="F90" s="178"/>
      <c r="G90" s="2"/>
      <c r="H90" s="2"/>
      <c r="I90" s="2"/>
    </row>
    <row r="91" spans="3:9" x14ac:dyDescent="0.25">
      <c r="C91" s="177"/>
      <c r="D91" s="178"/>
      <c r="E91" s="2"/>
      <c r="F91" s="178"/>
      <c r="G91" s="2"/>
      <c r="H91" s="2"/>
      <c r="I91" s="2"/>
    </row>
    <row r="92" spans="3:9" x14ac:dyDescent="0.25">
      <c r="C92" s="177"/>
      <c r="D92" s="178"/>
      <c r="E92" s="2"/>
      <c r="F92" s="178"/>
      <c r="G92" s="2"/>
      <c r="H92" s="2"/>
      <c r="I92" s="2"/>
    </row>
    <row r="93" spans="3:9" x14ac:dyDescent="0.25">
      <c r="C93" s="177"/>
      <c r="D93" s="178"/>
      <c r="E93" s="2"/>
      <c r="F93" s="178"/>
      <c r="G93" s="2"/>
      <c r="H93" s="2"/>
      <c r="I93" s="2"/>
    </row>
    <row r="94" spans="3:9" x14ac:dyDescent="0.25">
      <c r="C94" s="177"/>
      <c r="D94" s="178"/>
      <c r="E94" s="2"/>
      <c r="F94" s="178"/>
      <c r="G94" s="2"/>
      <c r="H94" s="2"/>
      <c r="I94" s="2"/>
    </row>
    <row r="95" spans="3:9" x14ac:dyDescent="0.25">
      <c r="C95" s="177"/>
      <c r="D95" s="178"/>
      <c r="E95" s="2"/>
      <c r="F95" s="178"/>
      <c r="G95" s="2"/>
      <c r="H95" s="2"/>
      <c r="I95" s="2"/>
    </row>
    <row r="96" spans="3:9" x14ac:dyDescent="0.25">
      <c r="C96" s="177"/>
      <c r="D96" s="178"/>
      <c r="E96" s="2"/>
      <c r="F96" s="178"/>
      <c r="G96" s="2"/>
      <c r="H96" s="2"/>
      <c r="I96" s="2"/>
    </row>
    <row r="97" spans="3:9" x14ac:dyDescent="0.25">
      <c r="C97" s="177"/>
      <c r="D97" s="178"/>
      <c r="E97" s="2"/>
      <c r="F97" s="178"/>
      <c r="G97" s="2"/>
      <c r="H97" s="2"/>
      <c r="I97" s="2"/>
    </row>
    <row r="98" spans="3:9" x14ac:dyDescent="0.25">
      <c r="C98" s="177"/>
      <c r="D98" s="178"/>
      <c r="E98" s="2"/>
      <c r="F98" s="178"/>
      <c r="G98" s="2"/>
      <c r="H98" s="2"/>
      <c r="I98" s="2"/>
    </row>
    <row r="99" spans="3:9" x14ac:dyDescent="0.25">
      <c r="C99" s="177"/>
      <c r="D99" s="178"/>
      <c r="E99" s="2"/>
      <c r="F99" s="178"/>
      <c r="G99" s="2"/>
      <c r="H99" s="2"/>
      <c r="I99" s="2"/>
    </row>
    <row r="100" spans="3:9" x14ac:dyDescent="0.25">
      <c r="C100" s="177"/>
      <c r="D100" s="178"/>
      <c r="E100" s="2"/>
      <c r="F100" s="178"/>
      <c r="G100" s="2"/>
      <c r="H100" s="2"/>
      <c r="I100" s="2"/>
    </row>
    <row r="101" spans="3:9" x14ac:dyDescent="0.25">
      <c r="C101" s="177"/>
      <c r="D101" s="178"/>
      <c r="E101" s="2"/>
      <c r="F101" s="178"/>
      <c r="G101" s="2"/>
      <c r="H101" s="2"/>
      <c r="I101" s="2"/>
    </row>
    <row r="102" spans="3:9" x14ac:dyDescent="0.25">
      <c r="C102" s="177"/>
      <c r="D102" s="178"/>
      <c r="E102" s="2"/>
      <c r="F102" s="178"/>
      <c r="G102" s="2"/>
      <c r="H102" s="2"/>
      <c r="I102" s="2"/>
    </row>
    <row r="103" spans="3:9" x14ac:dyDescent="0.25">
      <c r="C103" s="177"/>
      <c r="D103" s="178"/>
      <c r="E103" s="2"/>
      <c r="F103" s="178"/>
      <c r="G103" s="2"/>
      <c r="H103" s="2"/>
      <c r="I103" s="2"/>
    </row>
    <row r="104" spans="3:9" x14ac:dyDescent="0.25">
      <c r="C104" s="177"/>
      <c r="D104" s="178"/>
      <c r="E104" s="2"/>
      <c r="F104" s="178"/>
      <c r="G104" s="2"/>
      <c r="H104" s="2"/>
      <c r="I104" s="2"/>
    </row>
    <row r="105" spans="3:9" x14ac:dyDescent="0.25">
      <c r="C105" s="177"/>
      <c r="D105" s="178"/>
      <c r="E105" s="2"/>
      <c r="F105" s="178"/>
      <c r="G105" s="2"/>
      <c r="H105" s="2"/>
      <c r="I105" s="2"/>
    </row>
    <row r="106" spans="3:9" x14ac:dyDescent="0.25">
      <c r="C106" s="177"/>
      <c r="D106" s="178"/>
      <c r="E106" s="2"/>
      <c r="F106" s="178"/>
      <c r="G106" s="2"/>
      <c r="H106" s="2"/>
      <c r="I106" s="2"/>
    </row>
    <row r="107" spans="3:9" x14ac:dyDescent="0.25">
      <c r="C107" s="177"/>
      <c r="D107" s="178"/>
      <c r="E107" s="2"/>
      <c r="F107" s="178"/>
      <c r="G107" s="2"/>
      <c r="H107" s="2"/>
      <c r="I107" s="2"/>
    </row>
    <row r="108" spans="3:9" x14ac:dyDescent="0.25">
      <c r="C108" s="177"/>
      <c r="D108" s="178"/>
      <c r="E108" s="2"/>
      <c r="F108" s="178"/>
      <c r="G108" s="2"/>
      <c r="H108" s="2"/>
      <c r="I108" s="2"/>
    </row>
    <row r="109" spans="3:9" x14ac:dyDescent="0.25">
      <c r="C109" s="177"/>
      <c r="D109" s="178"/>
      <c r="E109" s="2"/>
      <c r="F109" s="178"/>
      <c r="G109" s="2"/>
      <c r="H109" s="2"/>
      <c r="I109" s="2"/>
    </row>
    <row r="110" spans="3:9" x14ac:dyDescent="0.25">
      <c r="C110" s="177"/>
      <c r="D110" s="178"/>
      <c r="E110" s="2"/>
      <c r="F110" s="178"/>
      <c r="G110" s="2"/>
      <c r="H110" s="2"/>
      <c r="I110" s="2"/>
    </row>
    <row r="111" spans="3:9" x14ac:dyDescent="0.25">
      <c r="C111" s="177"/>
      <c r="D111" s="178"/>
      <c r="E111" s="2"/>
      <c r="F111" s="178"/>
      <c r="G111" s="2"/>
      <c r="H111" s="2"/>
      <c r="I111" s="2"/>
    </row>
    <row r="112" spans="3:9" x14ac:dyDescent="0.25">
      <c r="C112" s="177"/>
      <c r="D112" s="178"/>
      <c r="E112" s="2"/>
      <c r="F112" s="178"/>
      <c r="G112" s="2"/>
      <c r="H112" s="2"/>
      <c r="I112" s="2"/>
    </row>
    <row r="113" spans="3:9" x14ac:dyDescent="0.25">
      <c r="C113" s="177"/>
      <c r="D113" s="178"/>
      <c r="E113" s="2"/>
      <c r="F113" s="178"/>
      <c r="G113" s="2"/>
      <c r="H113" s="2"/>
      <c r="I113" s="2"/>
    </row>
    <row r="114" spans="3:9" x14ac:dyDescent="0.25">
      <c r="C114" s="177"/>
      <c r="D114" s="178"/>
      <c r="E114" s="2"/>
      <c r="F114" s="178"/>
      <c r="G114" s="2"/>
      <c r="H114" s="2"/>
      <c r="I114" s="2"/>
    </row>
    <row r="115" spans="3:9" x14ac:dyDescent="0.25">
      <c r="C115" s="177"/>
      <c r="D115" s="178"/>
      <c r="E115" s="2"/>
      <c r="F115" s="178"/>
      <c r="G115" s="2"/>
      <c r="H115" s="2"/>
      <c r="I115" s="2"/>
    </row>
    <row r="116" spans="3:9" x14ac:dyDescent="0.25">
      <c r="C116" s="177"/>
      <c r="D116" s="178"/>
      <c r="E116" s="2"/>
      <c r="F116" s="178"/>
      <c r="G116" s="2"/>
      <c r="H116" s="2"/>
      <c r="I116" s="2"/>
    </row>
    <row r="117" spans="3:9" x14ac:dyDescent="0.25">
      <c r="C117" s="177"/>
      <c r="D117" s="178"/>
      <c r="E117" s="2"/>
      <c r="F117" s="178"/>
      <c r="G117" s="2"/>
      <c r="H117" s="2"/>
      <c r="I117" s="2"/>
    </row>
    <row r="118" spans="3:9" x14ac:dyDescent="0.25">
      <c r="C118" s="177"/>
      <c r="D118" s="178"/>
      <c r="E118" s="2"/>
      <c r="F118" s="178"/>
      <c r="G118" s="2"/>
      <c r="H118" s="2"/>
      <c r="I118" s="2"/>
    </row>
    <row r="119" spans="3:9" x14ac:dyDescent="0.25">
      <c r="C119" s="177"/>
      <c r="D119" s="178"/>
      <c r="E119" s="2"/>
      <c r="F119" s="178"/>
      <c r="G119" s="2"/>
      <c r="H119" s="2"/>
      <c r="I119" s="2"/>
    </row>
    <row r="120" spans="3:9" x14ac:dyDescent="0.25">
      <c r="C120" s="177"/>
      <c r="D120" s="178"/>
      <c r="E120" s="2"/>
      <c r="F120" s="178"/>
      <c r="G120" s="2"/>
      <c r="H120" s="2"/>
      <c r="I120" s="2"/>
    </row>
    <row r="121" spans="3:9" x14ac:dyDescent="0.25">
      <c r="C121" s="177"/>
      <c r="D121" s="178"/>
      <c r="E121" s="2"/>
      <c r="F121" s="178"/>
      <c r="G121" s="2"/>
      <c r="H121" s="2"/>
      <c r="I121" s="2"/>
    </row>
    <row r="122" spans="3:9" x14ac:dyDescent="0.25">
      <c r="C122" s="177"/>
      <c r="D122" s="178"/>
      <c r="E122" s="2"/>
      <c r="F122" s="178"/>
      <c r="G122" s="2"/>
      <c r="H122" s="2"/>
      <c r="I122" s="2"/>
    </row>
    <row r="123" spans="3:9" x14ac:dyDescent="0.25">
      <c r="C123" s="177"/>
      <c r="D123" s="178"/>
      <c r="E123" s="2"/>
      <c r="F123" s="178"/>
      <c r="G123" s="2"/>
      <c r="H123" s="2"/>
      <c r="I123" s="2"/>
    </row>
    <row r="124" spans="3:9" x14ac:dyDescent="0.25">
      <c r="C124" s="177"/>
      <c r="D124" s="178"/>
      <c r="E124" s="2"/>
      <c r="F124" s="178"/>
      <c r="G124" s="2"/>
      <c r="H124" s="2"/>
      <c r="I124" s="2"/>
    </row>
    <row r="125" spans="3:9" x14ac:dyDescent="0.25">
      <c r="C125" s="177"/>
      <c r="D125" s="178"/>
      <c r="E125" s="2"/>
      <c r="F125" s="178"/>
      <c r="G125" s="2"/>
      <c r="H125" s="2"/>
      <c r="I125" s="2"/>
    </row>
    <row r="126" spans="3:9" x14ac:dyDescent="0.25">
      <c r="C126" s="177"/>
      <c r="D126" s="178"/>
      <c r="E126" s="2"/>
      <c r="F126" s="178"/>
      <c r="G126" s="2"/>
      <c r="H126" s="2"/>
      <c r="I126" s="2"/>
    </row>
    <row r="127" spans="3:9" x14ac:dyDescent="0.25">
      <c r="C127" s="177"/>
      <c r="D127" s="178"/>
      <c r="E127" s="2"/>
      <c r="F127" s="178"/>
      <c r="G127" s="2"/>
      <c r="H127" s="2"/>
      <c r="I127" s="2"/>
    </row>
    <row r="128" spans="3:9" x14ac:dyDescent="0.25">
      <c r="C128" s="177"/>
      <c r="D128" s="178"/>
      <c r="E128" s="2"/>
      <c r="F128" s="178"/>
      <c r="G128" s="2"/>
      <c r="H128" s="2"/>
      <c r="I128" s="2"/>
    </row>
    <row r="129" spans="3:9" x14ac:dyDescent="0.25">
      <c r="C129" s="177"/>
      <c r="D129" s="178"/>
      <c r="E129" s="2"/>
      <c r="F129" s="178"/>
      <c r="G129" s="2"/>
      <c r="H129" s="2"/>
      <c r="I129" s="2"/>
    </row>
    <row r="130" spans="3:9" x14ac:dyDescent="0.25">
      <c r="C130" s="177"/>
      <c r="D130" s="178"/>
      <c r="E130" s="2"/>
      <c r="F130" s="178"/>
      <c r="G130" s="2"/>
      <c r="H130" s="2"/>
      <c r="I130" s="2"/>
    </row>
    <row r="131" spans="3:9" x14ac:dyDescent="0.25">
      <c r="C131" s="177"/>
      <c r="D131" s="178"/>
      <c r="E131" s="2"/>
      <c r="F131" s="178"/>
      <c r="G131" s="2"/>
      <c r="H131" s="2"/>
      <c r="I131" s="2"/>
    </row>
    <row r="132" spans="3:9" x14ac:dyDescent="0.25">
      <c r="C132" s="177"/>
      <c r="D132" s="178"/>
      <c r="E132" s="2"/>
      <c r="F132" s="178"/>
      <c r="G132" s="2"/>
      <c r="H132" s="2"/>
      <c r="I132" s="2"/>
    </row>
    <row r="133" spans="3:9" x14ac:dyDescent="0.25">
      <c r="C133" s="177"/>
      <c r="D133" s="178"/>
      <c r="E133" s="2"/>
      <c r="F133" s="178"/>
      <c r="G133" s="2"/>
      <c r="H133" s="2"/>
      <c r="I133" s="2"/>
    </row>
    <row r="134" spans="3:9" x14ac:dyDescent="0.25">
      <c r="C134" s="177"/>
      <c r="D134" s="178"/>
      <c r="E134" s="2"/>
      <c r="F134" s="178"/>
      <c r="G134" s="2"/>
      <c r="H134" s="2"/>
      <c r="I134" s="2"/>
    </row>
    <row r="135" spans="3:9" x14ac:dyDescent="0.25">
      <c r="C135" s="177"/>
      <c r="D135" s="178"/>
      <c r="E135" s="2"/>
      <c r="F135" s="178"/>
      <c r="G135" s="2"/>
      <c r="H135" s="2"/>
      <c r="I135" s="2"/>
    </row>
    <row r="136" spans="3:9" x14ac:dyDescent="0.25">
      <c r="C136" s="177"/>
      <c r="D136" s="178"/>
      <c r="E136" s="2"/>
      <c r="F136" s="178"/>
      <c r="G136" s="2"/>
      <c r="H136" s="2"/>
      <c r="I136" s="2"/>
    </row>
    <row r="137" spans="3:9" x14ac:dyDescent="0.25">
      <c r="C137" s="177"/>
      <c r="D137" s="178"/>
      <c r="E137" s="2"/>
      <c r="F137" s="178"/>
      <c r="G137" s="2"/>
      <c r="H137" s="2"/>
      <c r="I137" s="2"/>
    </row>
    <row r="138" spans="3:9" x14ac:dyDescent="0.25">
      <c r="C138" s="177"/>
      <c r="D138" s="178"/>
      <c r="E138" s="2"/>
      <c r="F138" s="178"/>
      <c r="G138" s="2"/>
      <c r="H138" s="2"/>
      <c r="I138" s="2"/>
    </row>
    <row r="139" spans="3:9" x14ac:dyDescent="0.25">
      <c r="C139" s="177"/>
      <c r="D139" s="178"/>
      <c r="E139" s="2"/>
      <c r="F139" s="178"/>
      <c r="G139" s="2"/>
      <c r="H139" s="2"/>
      <c r="I139" s="2"/>
    </row>
    <row r="140" spans="3:9" x14ac:dyDescent="0.25">
      <c r="C140" s="177"/>
      <c r="D140" s="178"/>
      <c r="E140" s="2"/>
      <c r="F140" s="178"/>
      <c r="G140" s="2"/>
      <c r="H140" s="2"/>
      <c r="I140" s="2"/>
    </row>
    <row r="141" spans="3:9" x14ac:dyDescent="0.25">
      <c r="C141" s="177"/>
      <c r="D141" s="178"/>
      <c r="E141" s="2"/>
      <c r="F141" s="178"/>
      <c r="G141" s="2"/>
      <c r="H141" s="2"/>
      <c r="I141" s="2"/>
    </row>
    <row r="142" spans="3:9" x14ac:dyDescent="0.25">
      <c r="C142" s="177"/>
      <c r="D142" s="178"/>
      <c r="E142" s="2"/>
      <c r="F142" s="178"/>
      <c r="G142" s="2"/>
      <c r="H142" s="2"/>
      <c r="I142" s="2"/>
    </row>
    <row r="143" spans="3:9" x14ac:dyDescent="0.25">
      <c r="C143" s="177"/>
      <c r="D143" s="178"/>
      <c r="E143" s="2"/>
      <c r="F143" s="178"/>
      <c r="G143" s="2"/>
      <c r="H143" s="2"/>
      <c r="I143" s="2"/>
    </row>
    <row r="144" spans="3:9" x14ac:dyDescent="0.25">
      <c r="C144" s="177"/>
      <c r="D144" s="178"/>
      <c r="E144" s="2"/>
      <c r="F144" s="178"/>
      <c r="G144" s="2"/>
      <c r="H144" s="2"/>
      <c r="I144" s="2"/>
    </row>
    <row r="145" spans="3:9" x14ac:dyDescent="0.25">
      <c r="C145" s="177"/>
      <c r="D145" s="178"/>
      <c r="E145" s="2"/>
      <c r="F145" s="178"/>
      <c r="G145" s="2"/>
      <c r="H145" s="2"/>
      <c r="I145" s="2"/>
    </row>
    <row r="146" spans="3:9" x14ac:dyDescent="0.25">
      <c r="C146" s="177"/>
      <c r="D146" s="178"/>
      <c r="E146" s="2"/>
      <c r="F146" s="178"/>
      <c r="G146" s="2"/>
      <c r="H146" s="2"/>
      <c r="I146" s="2"/>
    </row>
    <row r="147" spans="3:9" x14ac:dyDescent="0.25">
      <c r="C147" s="177"/>
      <c r="D147" s="178"/>
      <c r="E147" s="2"/>
      <c r="F147" s="178"/>
      <c r="G147" s="2"/>
      <c r="H147" s="2"/>
      <c r="I147" s="2"/>
    </row>
    <row r="148" spans="3:9" x14ac:dyDescent="0.25">
      <c r="C148" s="177"/>
      <c r="D148" s="178"/>
      <c r="E148" s="2"/>
      <c r="F148" s="178"/>
      <c r="G148" s="2"/>
      <c r="H148" s="2"/>
      <c r="I148" s="2"/>
    </row>
    <row r="149" spans="3:9" x14ac:dyDescent="0.25">
      <c r="C149" s="177"/>
      <c r="D149" s="178"/>
      <c r="E149" s="2"/>
      <c r="F149" s="178"/>
      <c r="G149" s="2"/>
      <c r="H149" s="2"/>
      <c r="I149" s="2"/>
    </row>
    <row r="150" spans="3:9" x14ac:dyDescent="0.25">
      <c r="C150" s="177"/>
      <c r="D150" s="178"/>
      <c r="E150" s="2"/>
      <c r="F150" s="178"/>
      <c r="G150" s="2"/>
      <c r="H150" s="2"/>
      <c r="I150" s="2"/>
    </row>
    <row r="151" spans="3:9" x14ac:dyDescent="0.25">
      <c r="C151" s="177"/>
      <c r="D151" s="178"/>
      <c r="E151" s="2"/>
      <c r="F151" s="178"/>
      <c r="G151" s="2"/>
      <c r="H151" s="2"/>
      <c r="I151" s="2"/>
    </row>
    <row r="152" spans="3:9" x14ac:dyDescent="0.25">
      <c r="C152" s="177"/>
      <c r="D152" s="178"/>
      <c r="E152" s="2"/>
      <c r="F152" s="178"/>
      <c r="G152" s="2"/>
      <c r="H152" s="2"/>
      <c r="I152" s="2"/>
    </row>
    <row r="153" spans="3:9" x14ac:dyDescent="0.25">
      <c r="C153" s="177"/>
      <c r="D153" s="178"/>
      <c r="E153" s="2"/>
      <c r="F153" s="178"/>
      <c r="G153" s="2"/>
      <c r="H153" s="2"/>
      <c r="I153" s="2"/>
    </row>
    <row r="154" spans="3:9" x14ac:dyDescent="0.25">
      <c r="C154" s="177"/>
      <c r="D154" s="178"/>
      <c r="E154" s="2"/>
      <c r="F154" s="178"/>
      <c r="G154" s="2"/>
      <c r="H154" s="2"/>
      <c r="I154" s="2"/>
    </row>
    <row r="155" spans="3:9" x14ac:dyDescent="0.25">
      <c r="C155" s="177"/>
      <c r="D155" s="178"/>
      <c r="E155" s="2"/>
      <c r="F155" s="178"/>
      <c r="G155" s="2"/>
      <c r="H155" s="2"/>
      <c r="I155" s="2"/>
    </row>
    <row r="156" spans="3:9" x14ac:dyDescent="0.25">
      <c r="C156" s="177"/>
      <c r="D156" s="178"/>
      <c r="E156" s="2"/>
      <c r="F156" s="178"/>
      <c r="G156" s="2"/>
      <c r="H156" s="2"/>
      <c r="I156" s="2"/>
    </row>
    <row r="157" spans="3:9" x14ac:dyDescent="0.25">
      <c r="C157" s="177"/>
      <c r="D157" s="178"/>
      <c r="E157" s="2"/>
      <c r="F157" s="178"/>
      <c r="G157" s="2"/>
      <c r="H157" s="2"/>
      <c r="I157" s="2"/>
    </row>
    <row r="158" spans="3:9" x14ac:dyDescent="0.25">
      <c r="C158" s="177"/>
      <c r="D158" s="178"/>
      <c r="E158" s="2"/>
      <c r="F158" s="178"/>
      <c r="G158" s="2"/>
      <c r="H158" s="2"/>
      <c r="I158" s="2"/>
    </row>
    <row r="159" spans="3:9" x14ac:dyDescent="0.25">
      <c r="C159" s="177"/>
      <c r="D159" s="178"/>
      <c r="E159" s="2"/>
      <c r="F159" s="178"/>
      <c r="G159" s="2"/>
      <c r="H159" s="2"/>
      <c r="I159" s="2"/>
    </row>
    <row r="160" spans="3:9" x14ac:dyDescent="0.25">
      <c r="C160" s="177"/>
      <c r="D160" s="178"/>
      <c r="E160" s="2"/>
      <c r="F160" s="178"/>
      <c r="G160" s="2"/>
      <c r="H160" s="2"/>
      <c r="I160" s="2"/>
    </row>
    <row r="161" spans="3:9" x14ac:dyDescent="0.25">
      <c r="C161" s="177"/>
      <c r="D161" s="178"/>
      <c r="E161" s="2"/>
      <c r="F161" s="178"/>
      <c r="G161" s="2"/>
      <c r="H161" s="2"/>
      <c r="I161" s="2"/>
    </row>
    <row r="162" spans="3:9" x14ac:dyDescent="0.25">
      <c r="C162" s="177"/>
      <c r="D162" s="178"/>
      <c r="E162" s="2"/>
      <c r="F162" s="178"/>
      <c r="G162" s="2"/>
      <c r="H162" s="2"/>
      <c r="I162" s="2"/>
    </row>
    <row r="163" spans="3:9" x14ac:dyDescent="0.25">
      <c r="C163" s="177"/>
      <c r="D163" s="178"/>
      <c r="E163" s="2"/>
      <c r="F163" s="178"/>
      <c r="G163" s="2"/>
      <c r="H163" s="2"/>
      <c r="I163" s="2"/>
    </row>
    <row r="164" spans="3:9" x14ac:dyDescent="0.25">
      <c r="C164" s="177"/>
      <c r="D164" s="178"/>
      <c r="E164" s="2"/>
      <c r="F164" s="178"/>
      <c r="G164" s="2"/>
      <c r="H164" s="2"/>
      <c r="I164" s="2"/>
    </row>
    <row r="165" spans="3:9" x14ac:dyDescent="0.25">
      <c r="C165" s="177"/>
      <c r="D165" s="178"/>
      <c r="E165" s="2"/>
      <c r="F165" s="178"/>
      <c r="G165" s="2"/>
      <c r="H165" s="2"/>
      <c r="I165" s="2"/>
    </row>
    <row r="166" spans="3:9" x14ac:dyDescent="0.25">
      <c r="C166" s="177"/>
      <c r="D166" s="178"/>
      <c r="E166" s="2"/>
      <c r="F166" s="178"/>
      <c r="G166" s="2"/>
      <c r="H166" s="2"/>
      <c r="I166" s="2"/>
    </row>
    <row r="167" spans="3:9" x14ac:dyDescent="0.25">
      <c r="C167" s="177"/>
      <c r="D167" s="178"/>
      <c r="E167" s="2"/>
      <c r="F167" s="178"/>
      <c r="G167" s="2"/>
      <c r="H167" s="2"/>
      <c r="I167" s="2"/>
    </row>
    <row r="168" spans="3:9" x14ac:dyDescent="0.25">
      <c r="C168" s="177"/>
      <c r="D168" s="178"/>
      <c r="E168" s="2"/>
      <c r="F168" s="178"/>
      <c r="G168" s="2"/>
      <c r="H168" s="2"/>
      <c r="I168" s="2"/>
    </row>
    <row r="169" spans="3:9" x14ac:dyDescent="0.25">
      <c r="C169" s="177"/>
      <c r="D169" s="178"/>
      <c r="E169" s="2"/>
      <c r="F169" s="178"/>
      <c r="G169" s="2"/>
      <c r="H169" s="2"/>
      <c r="I169" s="2"/>
    </row>
    <row r="170" spans="3:9" x14ac:dyDescent="0.25">
      <c r="C170" s="177"/>
      <c r="D170" s="178"/>
      <c r="E170" s="2"/>
      <c r="F170" s="178"/>
      <c r="G170" s="2"/>
      <c r="H170" s="2"/>
      <c r="I170" s="2"/>
    </row>
    <row r="171" spans="3:9" x14ac:dyDescent="0.25">
      <c r="C171" s="177"/>
      <c r="D171" s="178"/>
      <c r="E171" s="2"/>
      <c r="F171" s="178"/>
      <c r="G171" s="2"/>
      <c r="H171" s="2"/>
      <c r="I171" s="2"/>
    </row>
    <row r="172" spans="3:9" x14ac:dyDescent="0.25">
      <c r="C172" s="177"/>
      <c r="D172" s="178"/>
      <c r="E172" s="2"/>
      <c r="F172" s="178"/>
      <c r="G172" s="2"/>
      <c r="H172" s="2"/>
      <c r="I172" s="2"/>
    </row>
    <row r="173" spans="3:9" x14ac:dyDescent="0.25">
      <c r="C173" s="177"/>
      <c r="D173" s="178"/>
      <c r="E173" s="2"/>
      <c r="F173" s="178"/>
      <c r="G173" s="2"/>
      <c r="H173" s="2"/>
      <c r="I173" s="2"/>
    </row>
    <row r="174" spans="3:9" x14ac:dyDescent="0.25">
      <c r="C174" s="177"/>
      <c r="D174" s="178"/>
      <c r="E174" s="2"/>
      <c r="F174" s="178"/>
      <c r="G174" s="2"/>
      <c r="H174" s="2"/>
      <c r="I174" s="2"/>
    </row>
    <row r="175" spans="3:9" x14ac:dyDescent="0.25">
      <c r="C175" s="177"/>
      <c r="D175" s="178"/>
      <c r="E175" s="2"/>
      <c r="F175" s="178"/>
      <c r="G175" s="2"/>
      <c r="H175" s="2"/>
      <c r="I175" s="2"/>
    </row>
    <row r="176" spans="3:9" x14ac:dyDescent="0.25">
      <c r="C176" s="177"/>
      <c r="D176" s="178"/>
      <c r="E176" s="2"/>
      <c r="F176" s="178"/>
      <c r="G176" s="2"/>
      <c r="H176" s="2"/>
      <c r="I176" s="2"/>
    </row>
    <row r="177" spans="3:9" x14ac:dyDescent="0.25">
      <c r="C177" s="177"/>
      <c r="D177" s="178"/>
      <c r="E177" s="2"/>
      <c r="F177" s="178"/>
      <c r="G177" s="2"/>
      <c r="H177" s="2"/>
      <c r="I177" s="2"/>
    </row>
    <row r="178" spans="3:9" x14ac:dyDescent="0.25">
      <c r="C178" s="177"/>
      <c r="D178" s="178"/>
      <c r="E178" s="2"/>
      <c r="F178" s="178"/>
      <c r="G178" s="2"/>
      <c r="H178" s="2"/>
      <c r="I178" s="2"/>
    </row>
    <row r="179" spans="3:9" x14ac:dyDescent="0.25">
      <c r="C179" s="177"/>
      <c r="D179" s="178"/>
      <c r="E179" s="2"/>
      <c r="F179" s="178"/>
      <c r="G179" s="2"/>
      <c r="H179" s="2"/>
      <c r="I179" s="2"/>
    </row>
    <row r="180" spans="3:9" x14ac:dyDescent="0.25">
      <c r="C180" s="177"/>
      <c r="D180" s="178"/>
      <c r="E180" s="2"/>
      <c r="F180" s="178"/>
      <c r="G180" s="2"/>
      <c r="H180" s="2"/>
      <c r="I180" s="2"/>
    </row>
    <row r="181" spans="3:9" x14ac:dyDescent="0.25">
      <c r="C181" s="177"/>
      <c r="D181" s="178"/>
      <c r="E181" s="2"/>
      <c r="F181" s="178"/>
      <c r="G181" s="2"/>
      <c r="H181" s="2"/>
      <c r="I181" s="2"/>
    </row>
    <row r="182" spans="3:9" x14ac:dyDescent="0.25">
      <c r="C182" s="177"/>
      <c r="D182" s="178"/>
      <c r="E182" s="2"/>
      <c r="F182" s="178"/>
      <c r="G182" s="2"/>
      <c r="H182" s="2"/>
      <c r="I182" s="2"/>
    </row>
    <row r="183" spans="3:9" x14ac:dyDescent="0.25">
      <c r="C183" s="177"/>
      <c r="D183" s="178"/>
      <c r="E183" s="2"/>
      <c r="F183" s="178"/>
      <c r="G183" s="2"/>
      <c r="H183" s="2"/>
      <c r="I183" s="2"/>
    </row>
    <row r="184" spans="3:9" x14ac:dyDescent="0.25">
      <c r="C184" s="177"/>
      <c r="D184" s="178"/>
      <c r="E184" s="2"/>
      <c r="F184" s="178"/>
      <c r="G184" s="2"/>
      <c r="H184" s="2"/>
      <c r="I184" s="2"/>
    </row>
    <row r="185" spans="3:9" x14ac:dyDescent="0.25">
      <c r="C185" s="177"/>
      <c r="D185" s="178"/>
      <c r="E185" s="2"/>
      <c r="F185" s="178"/>
      <c r="G185" s="2"/>
      <c r="H185" s="2"/>
      <c r="I185" s="2"/>
    </row>
    <row r="186" spans="3:9" x14ac:dyDescent="0.25">
      <c r="C186" s="177"/>
      <c r="D186" s="178"/>
      <c r="E186" s="2"/>
      <c r="F186" s="178"/>
      <c r="G186" s="2"/>
      <c r="H186" s="2"/>
      <c r="I186" s="2"/>
    </row>
    <row r="187" spans="3:9" x14ac:dyDescent="0.25">
      <c r="C187" s="177"/>
      <c r="D187" s="178"/>
      <c r="E187" s="2"/>
      <c r="F187" s="178"/>
      <c r="G187" s="2"/>
      <c r="H187" s="2"/>
      <c r="I187" s="2"/>
    </row>
    <row r="188" spans="3:9" x14ac:dyDescent="0.25">
      <c r="C188" s="177"/>
      <c r="D188" s="178"/>
      <c r="E188" s="2"/>
      <c r="F188" s="178"/>
      <c r="G188" s="2"/>
      <c r="H188" s="2"/>
      <c r="I188" s="2"/>
    </row>
    <row r="189" spans="3:9" x14ac:dyDescent="0.25">
      <c r="C189" s="177"/>
      <c r="D189" s="178"/>
      <c r="E189" s="2"/>
      <c r="F189" s="178"/>
      <c r="G189" s="2"/>
      <c r="H189" s="2"/>
      <c r="I189" s="2"/>
    </row>
    <row r="190" spans="3:9" x14ac:dyDescent="0.25">
      <c r="C190" s="177"/>
      <c r="D190" s="178"/>
      <c r="E190" s="2"/>
      <c r="F190" s="178"/>
      <c r="G190" s="2"/>
      <c r="H190" s="2"/>
      <c r="I190" s="2"/>
    </row>
    <row r="191" spans="3:9" x14ac:dyDescent="0.25">
      <c r="C191" s="177"/>
      <c r="D191" s="178"/>
      <c r="E191" s="2"/>
      <c r="F191" s="178"/>
      <c r="G191" s="2"/>
      <c r="H191" s="2"/>
      <c r="I191" s="2"/>
    </row>
    <row r="192" spans="3:9" x14ac:dyDescent="0.25">
      <c r="C192" s="177"/>
      <c r="D192" s="178"/>
      <c r="E192" s="2"/>
      <c r="F192" s="178"/>
      <c r="G192" s="2"/>
      <c r="H192" s="2"/>
      <c r="I192" s="2"/>
    </row>
    <row r="193" spans="3:9" x14ac:dyDescent="0.25">
      <c r="C193" s="177"/>
      <c r="D193" s="178"/>
      <c r="E193" s="2"/>
      <c r="F193" s="178"/>
      <c r="G193" s="2"/>
      <c r="H193" s="2"/>
      <c r="I193" s="2"/>
    </row>
    <row r="194" spans="3:9" x14ac:dyDescent="0.25">
      <c r="C194" s="177"/>
      <c r="D194" s="178"/>
      <c r="E194" s="2"/>
      <c r="F194" s="178"/>
      <c r="G194" s="2"/>
      <c r="H194" s="2"/>
      <c r="I194" s="2"/>
    </row>
    <row r="195" spans="3:9" x14ac:dyDescent="0.25">
      <c r="C195" s="177"/>
      <c r="D195" s="178"/>
      <c r="E195" s="2"/>
      <c r="F195" s="178"/>
      <c r="G195" s="2"/>
      <c r="H195" s="2"/>
      <c r="I195" s="2"/>
    </row>
    <row r="196" spans="3:9" x14ac:dyDescent="0.25">
      <c r="C196" s="177"/>
      <c r="D196" s="178"/>
      <c r="E196" s="2"/>
      <c r="F196" s="178"/>
      <c r="G196" s="2"/>
      <c r="H196" s="2"/>
      <c r="I196" s="2"/>
    </row>
    <row r="197" spans="3:9" x14ac:dyDescent="0.25">
      <c r="C197" s="177"/>
      <c r="D197" s="178"/>
      <c r="E197" s="2"/>
      <c r="F197" s="178"/>
      <c r="G197" s="2"/>
      <c r="H197" s="2"/>
      <c r="I197" s="2"/>
    </row>
    <row r="198" spans="3:9" x14ac:dyDescent="0.25">
      <c r="C198" s="177"/>
      <c r="D198" s="178"/>
      <c r="E198" s="2"/>
      <c r="F198" s="178"/>
      <c r="G198" s="2"/>
      <c r="H198" s="2"/>
      <c r="I198" s="2"/>
    </row>
    <row r="199" spans="3:9" x14ac:dyDescent="0.25">
      <c r="C199" s="177"/>
      <c r="D199" s="178"/>
      <c r="E199" s="2"/>
      <c r="F199" s="178"/>
      <c r="G199" s="2"/>
      <c r="H199" s="2"/>
      <c r="I199" s="2"/>
    </row>
    <row r="200" spans="3:9" x14ac:dyDescent="0.25">
      <c r="C200" s="177"/>
      <c r="D200" s="178"/>
      <c r="E200" s="2"/>
      <c r="F200" s="178"/>
      <c r="G200" s="2"/>
      <c r="H200" s="2"/>
      <c r="I200" s="2"/>
    </row>
    <row r="201" spans="3:9" x14ac:dyDescent="0.25">
      <c r="C201" s="177"/>
      <c r="D201" s="178"/>
      <c r="E201" s="2"/>
      <c r="F201" s="178"/>
      <c r="G201" s="2"/>
      <c r="H201" s="2"/>
      <c r="I201" s="2"/>
    </row>
    <row r="202" spans="3:9" x14ac:dyDescent="0.25">
      <c r="C202" s="177"/>
      <c r="D202" s="178"/>
      <c r="E202" s="2"/>
      <c r="F202" s="178"/>
      <c r="G202" s="2"/>
      <c r="H202" s="2"/>
      <c r="I202" s="2"/>
    </row>
    <row r="203" spans="3:9" x14ac:dyDescent="0.25">
      <c r="C203" s="177"/>
      <c r="D203" s="178"/>
      <c r="E203" s="2"/>
      <c r="F203" s="178"/>
      <c r="G203" s="2"/>
      <c r="H203" s="2"/>
      <c r="I203" s="2"/>
    </row>
    <row r="204" spans="3:9" x14ac:dyDescent="0.25">
      <c r="C204" s="177"/>
      <c r="D204" s="178"/>
      <c r="E204" s="2"/>
      <c r="F204" s="178"/>
      <c r="G204" s="2"/>
      <c r="H204" s="2"/>
      <c r="I204" s="2"/>
    </row>
    <row r="205" spans="3:9" x14ac:dyDescent="0.25">
      <c r="C205" s="177"/>
      <c r="D205" s="178"/>
      <c r="E205" s="2"/>
      <c r="F205" s="178"/>
      <c r="G205" s="2"/>
      <c r="H205" s="2"/>
      <c r="I205" s="2"/>
    </row>
    <row r="206" spans="3:9" x14ac:dyDescent="0.25">
      <c r="C206" s="177"/>
      <c r="D206" s="178"/>
      <c r="E206" s="2"/>
      <c r="F206" s="178"/>
      <c r="G206" s="2"/>
      <c r="H206" s="2"/>
      <c r="I206" s="2"/>
    </row>
    <row r="207" spans="3:9" x14ac:dyDescent="0.25">
      <c r="C207" s="177"/>
      <c r="D207" s="178"/>
      <c r="E207" s="2"/>
      <c r="F207" s="178"/>
      <c r="G207" s="2"/>
      <c r="H207" s="2"/>
      <c r="I207" s="2"/>
    </row>
    <row r="208" spans="3:9" x14ac:dyDescent="0.25">
      <c r="C208" s="177"/>
      <c r="D208" s="178"/>
      <c r="E208" s="2"/>
      <c r="F208" s="178"/>
      <c r="G208" s="2"/>
      <c r="H208" s="2"/>
      <c r="I208" s="2"/>
    </row>
    <row r="209" spans="3:9" x14ac:dyDescent="0.25">
      <c r="C209" s="177"/>
      <c r="D209" s="178"/>
      <c r="E209" s="2"/>
      <c r="F209" s="178"/>
      <c r="G209" s="2"/>
      <c r="H209" s="2"/>
      <c r="I209" s="2"/>
    </row>
    <row r="210" spans="3:9" x14ac:dyDescent="0.25">
      <c r="C210" s="177"/>
      <c r="D210" s="178"/>
      <c r="E210" s="2"/>
      <c r="F210" s="178"/>
      <c r="G210" s="2"/>
      <c r="H210" s="2"/>
      <c r="I210" s="2"/>
    </row>
    <row r="211" spans="3:9" x14ac:dyDescent="0.25">
      <c r="C211" s="177"/>
      <c r="D211" s="178"/>
      <c r="E211" s="2"/>
      <c r="F211" s="178"/>
      <c r="G211" s="2"/>
      <c r="H211" s="2"/>
      <c r="I211" s="2"/>
    </row>
    <row r="212" spans="3:9" x14ac:dyDescent="0.25">
      <c r="C212" s="177"/>
      <c r="D212" s="178"/>
      <c r="E212" s="2"/>
      <c r="F212" s="178"/>
      <c r="G212" s="2"/>
      <c r="H212" s="2"/>
      <c r="I212" s="2"/>
    </row>
    <row r="213" spans="3:9" x14ac:dyDescent="0.25">
      <c r="C213" s="177"/>
      <c r="D213" s="178"/>
      <c r="E213" s="2"/>
      <c r="F213" s="178"/>
      <c r="G213" s="2"/>
      <c r="H213" s="2"/>
      <c r="I213" s="2"/>
    </row>
    <row r="214" spans="3:9" x14ac:dyDescent="0.25">
      <c r="C214" s="177"/>
      <c r="D214" s="178"/>
      <c r="E214" s="2"/>
      <c r="F214" s="178"/>
      <c r="G214" s="2"/>
      <c r="H214" s="2"/>
      <c r="I214" s="2"/>
    </row>
    <row r="215" spans="3:9" x14ac:dyDescent="0.25">
      <c r="C215" s="177"/>
      <c r="D215" s="178"/>
      <c r="E215" s="2"/>
      <c r="F215" s="178"/>
      <c r="G215" s="2"/>
      <c r="H215" s="2"/>
      <c r="I215" s="2"/>
    </row>
    <row r="216" spans="3:9" x14ac:dyDescent="0.25">
      <c r="C216" s="177"/>
      <c r="D216" s="178"/>
      <c r="E216" s="2"/>
      <c r="F216" s="178"/>
      <c r="G216" s="2"/>
      <c r="H216" s="2"/>
      <c r="I216" s="2"/>
    </row>
    <row r="217" spans="3:9" x14ac:dyDescent="0.25">
      <c r="C217" s="177"/>
      <c r="D217" s="178"/>
      <c r="E217" s="2"/>
      <c r="F217" s="178"/>
      <c r="G217" s="2"/>
      <c r="H217" s="2"/>
      <c r="I217" s="2"/>
    </row>
    <row r="218" spans="3:9" x14ac:dyDescent="0.25">
      <c r="C218" s="177"/>
      <c r="D218" s="178"/>
      <c r="E218" s="2"/>
      <c r="F218" s="178"/>
      <c r="G218" s="2"/>
      <c r="H218" s="2"/>
      <c r="I218" s="2"/>
    </row>
    <row r="219" spans="3:9" x14ac:dyDescent="0.25">
      <c r="C219" s="177"/>
      <c r="D219" s="178"/>
      <c r="E219" s="2"/>
      <c r="F219" s="178"/>
      <c r="G219" s="2"/>
      <c r="H219" s="2"/>
      <c r="I219" s="2"/>
    </row>
    <row r="220" spans="3:9" x14ac:dyDescent="0.25">
      <c r="C220" s="177"/>
      <c r="D220" s="178"/>
      <c r="E220" s="2"/>
      <c r="F220" s="178"/>
      <c r="G220" s="2"/>
      <c r="H220" s="2"/>
      <c r="I220" s="2"/>
    </row>
    <row r="221" spans="3:9" x14ac:dyDescent="0.25">
      <c r="C221" s="177"/>
      <c r="D221" s="178"/>
      <c r="E221" s="2"/>
      <c r="F221" s="178"/>
      <c r="G221" s="2"/>
      <c r="H221" s="2"/>
      <c r="I221" s="2"/>
    </row>
    <row r="222" spans="3:9" x14ac:dyDescent="0.25">
      <c r="C222" s="177"/>
      <c r="D222" s="178"/>
      <c r="E222" s="2"/>
      <c r="F222" s="178"/>
      <c r="G222" s="2"/>
      <c r="H222" s="2"/>
      <c r="I222" s="2"/>
    </row>
    <row r="223" spans="3:9" x14ac:dyDescent="0.25">
      <c r="C223" s="177"/>
      <c r="D223" s="178"/>
      <c r="E223" s="2"/>
      <c r="F223" s="178"/>
      <c r="G223" s="2"/>
      <c r="H223" s="2"/>
      <c r="I223" s="2"/>
    </row>
    <row r="224" spans="3:9" x14ac:dyDescent="0.25">
      <c r="C224" s="177"/>
      <c r="D224" s="178"/>
      <c r="E224" s="2"/>
      <c r="F224" s="178"/>
      <c r="G224" s="2"/>
      <c r="H224" s="2"/>
      <c r="I224" s="2"/>
    </row>
    <row r="225" spans="3:9" x14ac:dyDescent="0.25">
      <c r="C225" s="177"/>
      <c r="D225" s="178"/>
      <c r="E225" s="2"/>
      <c r="F225" s="178"/>
      <c r="G225" s="2"/>
      <c r="H225" s="2"/>
      <c r="I225" s="2"/>
    </row>
    <row r="226" spans="3:9" x14ac:dyDescent="0.25">
      <c r="C226" s="177"/>
      <c r="D226" s="178"/>
      <c r="E226" s="2"/>
      <c r="F226" s="178"/>
      <c r="G226" s="2"/>
      <c r="H226" s="2"/>
      <c r="I226" s="2"/>
    </row>
    <row r="227" spans="3:9" x14ac:dyDescent="0.25">
      <c r="C227" s="177"/>
      <c r="D227" s="178"/>
      <c r="E227" s="2"/>
      <c r="F227" s="178"/>
      <c r="G227" s="2"/>
      <c r="H227" s="2"/>
      <c r="I227" s="2"/>
    </row>
    <row r="228" spans="3:9" x14ac:dyDescent="0.25">
      <c r="C228" s="177"/>
      <c r="D228" s="178"/>
      <c r="E228" s="2"/>
      <c r="F228" s="178"/>
      <c r="G228" s="2"/>
      <c r="H228" s="2"/>
      <c r="I228" s="2"/>
    </row>
    <row r="229" spans="3:9" x14ac:dyDescent="0.25">
      <c r="C229" s="177"/>
      <c r="D229" s="178"/>
      <c r="E229" s="2"/>
      <c r="F229" s="178"/>
      <c r="G229" s="2"/>
      <c r="H229" s="2"/>
      <c r="I229" s="2"/>
    </row>
    <row r="230" spans="3:9" x14ac:dyDescent="0.25">
      <c r="C230" s="177"/>
      <c r="D230" s="178"/>
      <c r="E230" s="2"/>
      <c r="F230" s="178"/>
      <c r="G230" s="2"/>
      <c r="H230" s="2"/>
      <c r="I230" s="2"/>
    </row>
    <row r="231" spans="3:9" x14ac:dyDescent="0.25">
      <c r="C231" s="177"/>
      <c r="D231" s="178"/>
      <c r="E231" s="2"/>
      <c r="F231" s="178"/>
      <c r="G231" s="2"/>
      <c r="H231" s="2"/>
      <c r="I231" s="2"/>
    </row>
    <row r="232" spans="3:9" x14ac:dyDescent="0.25">
      <c r="C232" s="177"/>
      <c r="D232" s="178"/>
      <c r="E232" s="2"/>
      <c r="F232" s="178"/>
      <c r="G232" s="2"/>
      <c r="H232" s="2"/>
      <c r="I232" s="2"/>
    </row>
    <row r="233" spans="3:9" x14ac:dyDescent="0.25">
      <c r="C233" s="177"/>
      <c r="D233" s="178"/>
      <c r="E233" s="2"/>
      <c r="F233" s="178"/>
      <c r="G233" s="2"/>
      <c r="H233" s="2"/>
      <c r="I233" s="2"/>
    </row>
    <row r="234" spans="3:9" x14ac:dyDescent="0.25">
      <c r="C234" s="177"/>
      <c r="D234" s="178"/>
      <c r="E234" s="2"/>
      <c r="F234" s="178"/>
      <c r="G234" s="2"/>
      <c r="H234" s="2"/>
      <c r="I234" s="2"/>
    </row>
    <row r="235" spans="3:9" x14ac:dyDescent="0.25">
      <c r="C235" s="177"/>
      <c r="D235" s="178"/>
      <c r="E235" s="2"/>
      <c r="F235" s="178"/>
      <c r="G235" s="2"/>
      <c r="H235" s="2"/>
      <c r="I235" s="2"/>
    </row>
    <row r="236" spans="3:9" x14ac:dyDescent="0.25">
      <c r="C236" s="177"/>
      <c r="D236" s="178"/>
      <c r="E236" s="2"/>
      <c r="F236" s="178"/>
      <c r="G236" s="2"/>
      <c r="H236" s="2"/>
      <c r="I236" s="2"/>
    </row>
    <row r="237" spans="3:9" x14ac:dyDescent="0.25">
      <c r="C237" s="177"/>
      <c r="D237" s="178"/>
      <c r="E237" s="2"/>
      <c r="F237" s="178"/>
      <c r="G237" s="2"/>
      <c r="H237" s="2"/>
      <c r="I237" s="2"/>
    </row>
    <row r="238" spans="3:9" x14ac:dyDescent="0.25">
      <c r="C238" s="177"/>
      <c r="D238" s="178"/>
      <c r="E238" s="2"/>
      <c r="F238" s="178"/>
      <c r="G238" s="2"/>
      <c r="H238" s="2"/>
      <c r="I238" s="2"/>
    </row>
    <row r="239" spans="3:9" x14ac:dyDescent="0.25">
      <c r="C239" s="177"/>
      <c r="D239" s="178"/>
      <c r="E239" s="2"/>
      <c r="F239" s="178"/>
      <c r="G239" s="2"/>
      <c r="H239" s="2"/>
      <c r="I239" s="2"/>
    </row>
    <row r="240" spans="3:9" x14ac:dyDescent="0.25">
      <c r="C240" s="177"/>
      <c r="D240" s="178"/>
      <c r="E240" s="2"/>
      <c r="F240" s="178"/>
      <c r="G240" s="2"/>
      <c r="H240" s="2"/>
      <c r="I240" s="2"/>
    </row>
    <row r="241" spans="3:9" x14ac:dyDescent="0.25">
      <c r="C241" s="177"/>
      <c r="D241" s="178"/>
      <c r="E241" s="2"/>
      <c r="F241" s="178"/>
      <c r="G241" s="2"/>
      <c r="H241" s="2"/>
      <c r="I241" s="2"/>
    </row>
    <row r="242" spans="3:9" x14ac:dyDescent="0.25">
      <c r="C242" s="177"/>
      <c r="D242" s="178"/>
      <c r="E242" s="2"/>
      <c r="F242" s="178"/>
      <c r="G242" s="2"/>
      <c r="H242" s="2"/>
      <c r="I242" s="2"/>
    </row>
    <row r="243" spans="3:9" x14ac:dyDescent="0.25">
      <c r="C243" s="177"/>
      <c r="D243" s="178"/>
      <c r="E243" s="2"/>
      <c r="F243" s="178"/>
      <c r="G243" s="2"/>
      <c r="H243" s="2"/>
      <c r="I243" s="2"/>
    </row>
    <row r="244" spans="3:9" x14ac:dyDescent="0.25">
      <c r="C244" s="177"/>
      <c r="D244" s="178"/>
      <c r="E244" s="2"/>
      <c r="F244" s="178"/>
      <c r="G244" s="2"/>
      <c r="H244" s="2"/>
      <c r="I244" s="2"/>
    </row>
    <row r="245" spans="3:9" x14ac:dyDescent="0.25">
      <c r="C245" s="177"/>
      <c r="D245" s="178"/>
      <c r="E245" s="2"/>
      <c r="F245" s="178"/>
      <c r="G245" s="2"/>
      <c r="H245" s="2"/>
      <c r="I245" s="2"/>
    </row>
    <row r="246" spans="3:9" x14ac:dyDescent="0.25">
      <c r="C246" s="177"/>
      <c r="D246" s="178"/>
      <c r="E246" s="2"/>
      <c r="F246" s="178"/>
      <c r="G246" s="2"/>
      <c r="H246" s="2"/>
      <c r="I246" s="2"/>
    </row>
    <row r="247" spans="3:9" x14ac:dyDescent="0.25">
      <c r="C247" s="177"/>
      <c r="D247" s="178"/>
      <c r="E247" s="2"/>
      <c r="F247" s="178"/>
      <c r="G247" s="2"/>
      <c r="H247" s="2"/>
      <c r="I247" s="2"/>
    </row>
    <row r="248" spans="3:9" x14ac:dyDescent="0.25">
      <c r="C248" s="177"/>
      <c r="D248" s="178"/>
      <c r="E248" s="2"/>
      <c r="F248" s="178"/>
      <c r="G248" s="2"/>
      <c r="H248" s="2"/>
      <c r="I248" s="2"/>
    </row>
    <row r="249" spans="3:9" x14ac:dyDescent="0.25">
      <c r="C249" s="177"/>
      <c r="D249" s="178"/>
      <c r="E249" s="2"/>
      <c r="F249" s="178"/>
      <c r="G249" s="2"/>
      <c r="H249" s="2"/>
      <c r="I249" s="2"/>
    </row>
    <row r="250" spans="3:9" x14ac:dyDescent="0.25">
      <c r="C250" s="177"/>
      <c r="D250" s="178"/>
      <c r="E250" s="2"/>
      <c r="F250" s="178"/>
      <c r="G250" s="2"/>
      <c r="H250" s="2"/>
      <c r="I250" s="2"/>
    </row>
    <row r="251" spans="3:9" x14ac:dyDescent="0.25">
      <c r="C251" s="177"/>
      <c r="D251" s="178"/>
      <c r="E251" s="2"/>
      <c r="F251" s="178"/>
      <c r="G251" s="2"/>
      <c r="H251" s="2"/>
      <c r="I251" s="2"/>
    </row>
    <row r="252" spans="3:9" x14ac:dyDescent="0.25">
      <c r="C252" s="177"/>
      <c r="D252" s="178"/>
      <c r="E252" s="2"/>
      <c r="F252" s="178"/>
      <c r="G252" s="2"/>
      <c r="H252" s="2"/>
      <c r="I252" s="2"/>
    </row>
    <row r="253" spans="3:9" x14ac:dyDescent="0.25">
      <c r="C253" s="177"/>
      <c r="D253" s="178"/>
      <c r="E253" s="2"/>
      <c r="F253" s="178"/>
      <c r="G253" s="2"/>
      <c r="H253" s="2"/>
      <c r="I253" s="2"/>
    </row>
    <row r="254" spans="3:9" x14ac:dyDescent="0.25">
      <c r="C254" s="177"/>
      <c r="D254" s="178"/>
      <c r="E254" s="2"/>
      <c r="F254" s="178"/>
      <c r="G254" s="2"/>
      <c r="H254" s="2"/>
      <c r="I254" s="2"/>
    </row>
    <row r="255" spans="3:9" x14ac:dyDescent="0.25">
      <c r="C255" s="177"/>
      <c r="D255" s="178"/>
      <c r="E255" s="2"/>
      <c r="F255" s="178"/>
      <c r="G255" s="2"/>
      <c r="H255" s="2"/>
      <c r="I255" s="2"/>
    </row>
    <row r="256" spans="3:9" x14ac:dyDescent="0.25">
      <c r="C256" s="177"/>
      <c r="D256" s="178"/>
      <c r="E256" s="2"/>
      <c r="F256" s="178"/>
      <c r="G256" s="2"/>
      <c r="H256" s="2"/>
      <c r="I256" s="2"/>
    </row>
    <row r="257" spans="3:9" x14ac:dyDescent="0.25">
      <c r="C257" s="177"/>
      <c r="D257" s="178"/>
      <c r="E257" s="2"/>
      <c r="F257" s="178"/>
      <c r="G257" s="2"/>
      <c r="H257" s="2"/>
      <c r="I257" s="2"/>
    </row>
    <row r="258" spans="3:9" x14ac:dyDescent="0.25">
      <c r="C258" s="177"/>
      <c r="D258" s="178"/>
      <c r="E258" s="2"/>
      <c r="F258" s="178"/>
      <c r="G258" s="2"/>
      <c r="H258" s="2"/>
      <c r="I258" s="2"/>
    </row>
    <row r="259" spans="3:9" x14ac:dyDescent="0.25">
      <c r="C259" s="177"/>
      <c r="D259" s="178"/>
      <c r="E259" s="2"/>
      <c r="F259" s="178"/>
      <c r="G259" s="2"/>
      <c r="H259" s="2"/>
      <c r="I259" s="2"/>
    </row>
    <row r="260" spans="3:9" x14ac:dyDescent="0.25">
      <c r="C260" s="177"/>
      <c r="D260" s="178"/>
      <c r="E260" s="2"/>
      <c r="F260" s="178"/>
      <c r="G260" s="2"/>
      <c r="H260" s="2"/>
      <c r="I260" s="2"/>
    </row>
    <row r="261" spans="3:9" x14ac:dyDescent="0.25">
      <c r="C261" s="177"/>
      <c r="D261" s="178"/>
      <c r="E261" s="2"/>
      <c r="F261" s="178"/>
      <c r="G261" s="2"/>
      <c r="H261" s="2"/>
      <c r="I261" s="2"/>
    </row>
    <row r="262" spans="3:9" x14ac:dyDescent="0.25">
      <c r="C262" s="177"/>
      <c r="D262" s="178"/>
      <c r="E262" s="2"/>
      <c r="F262" s="178"/>
      <c r="G262" s="2"/>
      <c r="H262" s="2"/>
      <c r="I262" s="2"/>
    </row>
    <row r="263" spans="3:9" x14ac:dyDescent="0.25">
      <c r="C263" s="177"/>
      <c r="D263" s="178"/>
      <c r="E263" s="2"/>
      <c r="F263" s="178"/>
      <c r="G263" s="2"/>
      <c r="H263" s="2"/>
      <c r="I263" s="2"/>
    </row>
    <row r="264" spans="3:9" x14ac:dyDescent="0.25">
      <c r="C264" s="177"/>
      <c r="D264" s="178"/>
      <c r="E264" s="2"/>
      <c r="F264" s="178"/>
      <c r="G264" s="2"/>
      <c r="H264" s="2"/>
      <c r="I264" s="2"/>
    </row>
    <row r="265" spans="3:9" x14ac:dyDescent="0.25">
      <c r="C265" s="177"/>
      <c r="D265" s="178"/>
      <c r="E265" s="2"/>
      <c r="F265" s="178"/>
      <c r="G265" s="2"/>
      <c r="H265" s="2"/>
      <c r="I265" s="2"/>
    </row>
    <row r="266" spans="3:9" x14ac:dyDescent="0.25">
      <c r="C266" s="177"/>
      <c r="D266" s="178"/>
      <c r="E266" s="2"/>
      <c r="F266" s="178"/>
      <c r="G266" s="2"/>
      <c r="H266" s="2"/>
      <c r="I266" s="2"/>
    </row>
    <row r="267" spans="3:9" x14ac:dyDescent="0.25">
      <c r="C267" s="177"/>
      <c r="D267" s="178"/>
      <c r="E267" s="2"/>
      <c r="F267" s="178"/>
      <c r="G267" s="2"/>
      <c r="H267" s="2"/>
      <c r="I267" s="2"/>
    </row>
    <row r="268" spans="3:9" x14ac:dyDescent="0.25">
      <c r="C268" s="177"/>
      <c r="D268" s="178"/>
      <c r="E268" s="2"/>
      <c r="F268" s="178"/>
      <c r="G268" s="2"/>
      <c r="H268" s="2"/>
      <c r="I268" s="2"/>
    </row>
    <row r="269" spans="3:9" x14ac:dyDescent="0.25">
      <c r="C269" s="177"/>
      <c r="D269" s="178"/>
      <c r="E269" s="2"/>
      <c r="F269" s="178"/>
      <c r="G269" s="2"/>
      <c r="H269" s="2"/>
      <c r="I269" s="2"/>
    </row>
    <row r="270" spans="3:9" x14ac:dyDescent="0.25">
      <c r="C270" s="177"/>
      <c r="D270" s="178"/>
      <c r="E270" s="2"/>
      <c r="F270" s="178"/>
      <c r="G270" s="2"/>
      <c r="H270" s="2"/>
      <c r="I270" s="2"/>
    </row>
    <row r="271" spans="3:9" x14ac:dyDescent="0.25">
      <c r="C271" s="177"/>
      <c r="D271" s="178"/>
      <c r="E271" s="2"/>
      <c r="F271" s="178"/>
      <c r="G271" s="2"/>
      <c r="H271" s="2"/>
      <c r="I271" s="2"/>
    </row>
    <row r="272" spans="3:9" x14ac:dyDescent="0.25">
      <c r="C272" s="177"/>
      <c r="D272" s="178"/>
      <c r="E272" s="2"/>
      <c r="F272" s="178"/>
      <c r="G272" s="2"/>
      <c r="H272" s="2"/>
      <c r="I272" s="2"/>
    </row>
    <row r="273" spans="3:9" x14ac:dyDescent="0.25">
      <c r="C273" s="177"/>
      <c r="D273" s="178"/>
      <c r="E273" s="2"/>
      <c r="F273" s="178"/>
      <c r="G273" s="2"/>
      <c r="H273" s="2"/>
      <c r="I273" s="2"/>
    </row>
    <row r="274" spans="3:9" x14ac:dyDescent="0.25">
      <c r="C274" s="177"/>
      <c r="D274" s="178"/>
      <c r="E274" s="2"/>
      <c r="F274" s="178"/>
      <c r="G274" s="2"/>
      <c r="H274" s="2"/>
      <c r="I274" s="2"/>
    </row>
    <row r="275" spans="3:9" x14ac:dyDescent="0.25">
      <c r="C275" s="177"/>
      <c r="D275" s="178"/>
      <c r="E275" s="2"/>
      <c r="F275" s="178"/>
      <c r="G275" s="2"/>
      <c r="H275" s="2"/>
      <c r="I275" s="2"/>
    </row>
    <row r="276" spans="3:9" x14ac:dyDescent="0.25">
      <c r="C276" s="177"/>
      <c r="D276" s="178"/>
      <c r="E276" s="2"/>
      <c r="F276" s="178"/>
      <c r="G276" s="2"/>
      <c r="H276" s="2"/>
      <c r="I276" s="2"/>
    </row>
    <row r="277" spans="3:9" x14ac:dyDescent="0.25">
      <c r="C277" s="177"/>
      <c r="D277" s="178"/>
      <c r="E277" s="2"/>
      <c r="F277" s="178"/>
      <c r="G277" s="2"/>
      <c r="H277" s="2"/>
      <c r="I277" s="2"/>
    </row>
    <row r="278" spans="3:9" x14ac:dyDescent="0.25">
      <c r="C278" s="177"/>
      <c r="D278" s="178"/>
      <c r="E278" s="2"/>
      <c r="F278" s="178"/>
      <c r="G278" s="2"/>
      <c r="H278" s="2"/>
      <c r="I278" s="2"/>
    </row>
    <row r="279" spans="3:9" x14ac:dyDescent="0.25">
      <c r="C279" s="177"/>
      <c r="D279" s="178"/>
      <c r="E279" s="2"/>
      <c r="F279" s="178"/>
      <c r="G279" s="2"/>
      <c r="H279" s="2"/>
      <c r="I279" s="2"/>
    </row>
    <row r="280" spans="3:9" x14ac:dyDescent="0.25">
      <c r="C280" s="177"/>
      <c r="D280" s="178"/>
      <c r="E280" s="2"/>
      <c r="F280" s="178"/>
      <c r="G280" s="2"/>
      <c r="H280" s="2"/>
      <c r="I280" s="2"/>
    </row>
    <row r="281" spans="3:9" x14ac:dyDescent="0.25">
      <c r="C281" s="177"/>
      <c r="D281" s="178"/>
      <c r="E281" s="2"/>
      <c r="F281" s="178"/>
      <c r="G281" s="2"/>
      <c r="H281" s="2"/>
      <c r="I281" s="2"/>
    </row>
    <row r="282" spans="3:9" x14ac:dyDescent="0.25">
      <c r="C282" s="177"/>
      <c r="D282" s="178"/>
      <c r="E282" s="2"/>
      <c r="F282" s="178"/>
      <c r="G282" s="2"/>
      <c r="H282" s="2"/>
      <c r="I282" s="2"/>
    </row>
    <row r="283" spans="3:9" x14ac:dyDescent="0.25">
      <c r="C283" s="177"/>
      <c r="D283" s="178"/>
      <c r="E283" s="2"/>
      <c r="F283" s="178"/>
      <c r="G283" s="2"/>
      <c r="H283" s="2"/>
      <c r="I283" s="2"/>
    </row>
    <row r="284" spans="3:9" x14ac:dyDescent="0.25">
      <c r="C284" s="177"/>
      <c r="D284" s="178"/>
      <c r="E284" s="2"/>
      <c r="F284" s="178"/>
      <c r="G284" s="2"/>
      <c r="H284" s="2"/>
      <c r="I284" s="2"/>
    </row>
    <row r="285" spans="3:9" x14ac:dyDescent="0.25">
      <c r="C285" s="177"/>
      <c r="D285" s="178"/>
      <c r="E285" s="2"/>
      <c r="F285" s="178"/>
      <c r="G285" s="2"/>
      <c r="H285" s="2"/>
      <c r="I285" s="2"/>
    </row>
    <row r="286" spans="3:9" x14ac:dyDescent="0.25">
      <c r="C286" s="177"/>
      <c r="D286" s="178"/>
      <c r="E286" s="2"/>
      <c r="F286" s="178"/>
      <c r="G286" s="2"/>
      <c r="H286" s="2"/>
      <c r="I286" s="2"/>
    </row>
    <row r="287" spans="3:9" x14ac:dyDescent="0.25">
      <c r="C287" s="177"/>
      <c r="D287" s="178"/>
      <c r="E287" s="2"/>
      <c r="F287" s="178"/>
      <c r="G287" s="2"/>
      <c r="H287" s="2"/>
      <c r="I287" s="2"/>
    </row>
    <row r="288" spans="3:9" x14ac:dyDescent="0.25">
      <c r="C288" s="177"/>
      <c r="D288" s="178"/>
      <c r="E288" s="2"/>
      <c r="F288" s="178"/>
      <c r="G288" s="2"/>
      <c r="H288" s="2"/>
      <c r="I288" s="2"/>
    </row>
    <row r="289" spans="3:9" x14ac:dyDescent="0.25">
      <c r="C289" s="177"/>
      <c r="D289" s="178"/>
      <c r="E289" s="2"/>
      <c r="F289" s="178"/>
      <c r="G289" s="2"/>
      <c r="H289" s="2"/>
      <c r="I289" s="2"/>
    </row>
    <row r="290" spans="3:9" x14ac:dyDescent="0.25">
      <c r="C290" s="177"/>
      <c r="D290" s="178"/>
      <c r="E290" s="2"/>
      <c r="F290" s="178"/>
      <c r="G290" s="2"/>
      <c r="H290" s="2"/>
      <c r="I290" s="2"/>
    </row>
    <row r="291" spans="3:9" x14ac:dyDescent="0.25">
      <c r="C291" s="177"/>
      <c r="D291" s="178"/>
      <c r="E291" s="2"/>
      <c r="F291" s="178"/>
      <c r="G291" s="2"/>
      <c r="H291" s="2"/>
      <c r="I291" s="2"/>
    </row>
    <row r="292" spans="3:9" x14ac:dyDescent="0.25">
      <c r="C292" s="177"/>
      <c r="D292" s="178"/>
      <c r="E292" s="2"/>
      <c r="F292" s="178"/>
      <c r="G292" s="2"/>
      <c r="H292" s="2"/>
      <c r="I292" s="2"/>
    </row>
    <row r="293" spans="3:9" x14ac:dyDescent="0.25">
      <c r="C293" s="177"/>
      <c r="D293" s="178"/>
      <c r="E293" s="2"/>
      <c r="F293" s="178"/>
      <c r="G293" s="2"/>
      <c r="H293" s="2"/>
      <c r="I293" s="2"/>
    </row>
    <row r="294" spans="3:9" x14ac:dyDescent="0.25">
      <c r="C294" s="177"/>
      <c r="D294" s="178"/>
      <c r="E294" s="2"/>
      <c r="F294" s="178"/>
      <c r="G294" s="2"/>
      <c r="H294" s="2"/>
      <c r="I294" s="2"/>
    </row>
    <row r="295" spans="3:9" x14ac:dyDescent="0.25">
      <c r="C295" s="177"/>
      <c r="D295" s="178"/>
      <c r="E295" s="2"/>
      <c r="F295" s="178"/>
      <c r="G295" s="2"/>
      <c r="H295" s="2"/>
      <c r="I295" s="2"/>
    </row>
    <row r="296" spans="3:9" x14ac:dyDescent="0.25">
      <c r="C296" s="177"/>
      <c r="D296" s="178"/>
      <c r="E296" s="2"/>
      <c r="F296" s="178"/>
      <c r="G296" s="2"/>
      <c r="H296" s="2"/>
      <c r="I296" s="2"/>
    </row>
    <row r="297" spans="3:9" x14ac:dyDescent="0.25">
      <c r="C297" s="177"/>
      <c r="D297" s="178"/>
      <c r="E297" s="2"/>
      <c r="F297" s="178"/>
      <c r="G297" s="2"/>
      <c r="H297" s="2"/>
      <c r="I297" s="2"/>
    </row>
    <row r="298" spans="3:9" x14ac:dyDescent="0.25">
      <c r="C298" s="177"/>
      <c r="D298" s="178"/>
      <c r="E298" s="2"/>
      <c r="F298" s="178"/>
      <c r="G298" s="2"/>
      <c r="H298" s="2"/>
      <c r="I298" s="2"/>
    </row>
    <row r="299" spans="3:9" x14ac:dyDescent="0.25">
      <c r="C299" s="177"/>
      <c r="D299" s="178"/>
      <c r="E299" s="2"/>
      <c r="F299" s="178"/>
      <c r="G299" s="2"/>
      <c r="H299" s="2"/>
      <c r="I299" s="2"/>
    </row>
    <row r="300" spans="3:9" x14ac:dyDescent="0.25">
      <c r="C300" s="177"/>
      <c r="D300" s="178"/>
      <c r="E300" s="2"/>
      <c r="F300" s="178"/>
      <c r="G300" s="2"/>
      <c r="H300" s="2"/>
      <c r="I300" s="2"/>
    </row>
    <row r="301" spans="3:9" x14ac:dyDescent="0.25">
      <c r="C301" s="177"/>
      <c r="D301" s="178"/>
      <c r="E301" s="2"/>
      <c r="F301" s="178"/>
      <c r="G301" s="2"/>
      <c r="H301" s="2"/>
      <c r="I301" s="2"/>
    </row>
    <row r="302" spans="3:9" x14ac:dyDescent="0.25">
      <c r="C302" s="177"/>
      <c r="D302" s="178"/>
      <c r="E302" s="2"/>
      <c r="F302" s="178"/>
      <c r="G302" s="2"/>
      <c r="H302" s="2"/>
      <c r="I302" s="2"/>
    </row>
    <row r="303" spans="3:9" x14ac:dyDescent="0.25">
      <c r="C303" s="177"/>
      <c r="D303" s="178"/>
      <c r="E303" s="2"/>
      <c r="F303" s="178"/>
      <c r="G303" s="2"/>
      <c r="H303" s="2"/>
      <c r="I303" s="2"/>
    </row>
    <row r="304" spans="3:9" x14ac:dyDescent="0.25">
      <c r="C304" s="177"/>
      <c r="D304" s="178"/>
      <c r="E304" s="2"/>
      <c r="F304" s="178"/>
      <c r="G304" s="2"/>
      <c r="H304" s="2"/>
      <c r="I304" s="2"/>
    </row>
    <row r="305" spans="3:9" x14ac:dyDescent="0.25">
      <c r="C305" s="177"/>
      <c r="D305" s="178"/>
      <c r="E305" s="2"/>
      <c r="F305" s="178"/>
      <c r="G305" s="2"/>
      <c r="H305" s="2"/>
      <c r="I305" s="2"/>
    </row>
    <row r="306" spans="3:9" x14ac:dyDescent="0.25">
      <c r="C306" s="177"/>
      <c r="D306" s="178"/>
      <c r="E306" s="2"/>
      <c r="F306" s="178"/>
      <c r="G306" s="2"/>
      <c r="H306" s="2"/>
      <c r="I306" s="2"/>
    </row>
    <row r="307" spans="3:9" x14ac:dyDescent="0.25">
      <c r="C307" s="177"/>
      <c r="D307" s="178"/>
      <c r="E307" s="2"/>
      <c r="F307" s="178"/>
      <c r="G307" s="2"/>
      <c r="H307" s="2"/>
      <c r="I307" s="2"/>
    </row>
    <row r="308" spans="3:9" x14ac:dyDescent="0.25">
      <c r="C308" s="177"/>
      <c r="D308" s="178"/>
      <c r="E308" s="2"/>
      <c r="F308" s="178"/>
      <c r="G308" s="2"/>
      <c r="H308" s="2"/>
      <c r="I308" s="2"/>
    </row>
    <row r="309" spans="3:9" x14ac:dyDescent="0.25">
      <c r="C309" s="177"/>
      <c r="D309" s="178"/>
      <c r="E309" s="2"/>
      <c r="F309" s="178"/>
      <c r="G309" s="2"/>
      <c r="H309" s="2"/>
      <c r="I309" s="2"/>
    </row>
    <row r="310" spans="3:9" x14ac:dyDescent="0.25">
      <c r="C310" s="177"/>
      <c r="D310" s="178"/>
      <c r="E310" s="2"/>
      <c r="F310" s="178"/>
      <c r="G310" s="2"/>
      <c r="H310" s="2"/>
      <c r="I310" s="2"/>
    </row>
    <row r="311" spans="3:9" x14ac:dyDescent="0.25">
      <c r="C311" s="177"/>
      <c r="D311" s="178"/>
      <c r="E311" s="2"/>
      <c r="F311" s="178"/>
      <c r="G311" s="2"/>
      <c r="H311" s="2"/>
      <c r="I311" s="2"/>
    </row>
    <row r="312" spans="3:9" x14ac:dyDescent="0.25">
      <c r="C312" s="177"/>
      <c r="D312" s="178"/>
      <c r="E312" s="2"/>
      <c r="F312" s="178"/>
      <c r="G312" s="2"/>
      <c r="H312" s="2"/>
      <c r="I312" s="2"/>
    </row>
    <row r="313" spans="3:9" x14ac:dyDescent="0.25">
      <c r="C313" s="177"/>
      <c r="D313" s="178"/>
      <c r="E313" s="2"/>
      <c r="F313" s="178"/>
      <c r="G313" s="2"/>
      <c r="H313" s="2"/>
      <c r="I313" s="2"/>
    </row>
    <row r="314" spans="3:9" x14ac:dyDescent="0.25">
      <c r="C314" s="177"/>
      <c r="D314" s="178"/>
      <c r="E314" s="2"/>
      <c r="F314" s="178"/>
      <c r="G314" s="2"/>
      <c r="H314" s="2"/>
      <c r="I314" s="2"/>
    </row>
    <row r="315" spans="3:9" x14ac:dyDescent="0.25">
      <c r="C315" s="177"/>
      <c r="D315" s="178"/>
      <c r="E315" s="2"/>
      <c r="F315" s="178"/>
      <c r="G315" s="2"/>
      <c r="H315" s="2"/>
      <c r="I315" s="2"/>
    </row>
    <row r="316" spans="3:9" x14ac:dyDescent="0.25">
      <c r="C316" s="177"/>
      <c r="D316" s="178"/>
      <c r="E316" s="2"/>
      <c r="F316" s="178"/>
      <c r="G316" s="2"/>
      <c r="H316" s="2"/>
      <c r="I316" s="2"/>
    </row>
    <row r="317" spans="3:9" x14ac:dyDescent="0.25">
      <c r="C317" s="177"/>
      <c r="D317" s="178"/>
      <c r="E317" s="2"/>
      <c r="F317" s="178"/>
      <c r="G317" s="2"/>
      <c r="H317" s="2"/>
      <c r="I317" s="2"/>
    </row>
    <row r="318" spans="3:9" x14ac:dyDescent="0.25">
      <c r="C318" s="177"/>
      <c r="D318" s="178"/>
      <c r="E318" s="2"/>
      <c r="F318" s="178"/>
      <c r="G318" s="2"/>
      <c r="H318" s="2"/>
      <c r="I318" s="2"/>
    </row>
    <row r="319" spans="3:9" x14ac:dyDescent="0.25">
      <c r="C319" s="177"/>
      <c r="D319" s="178"/>
      <c r="E319" s="2"/>
      <c r="F319" s="178"/>
      <c r="G319" s="2"/>
      <c r="H319" s="2"/>
      <c r="I319" s="2"/>
    </row>
    <row r="320" spans="3:9" x14ac:dyDescent="0.25">
      <c r="C320" s="177"/>
      <c r="D320" s="178"/>
      <c r="E320" s="2"/>
      <c r="F320" s="178"/>
      <c r="G320" s="2"/>
      <c r="H320" s="2"/>
      <c r="I320" s="2"/>
    </row>
    <row r="321" spans="3:9" x14ac:dyDescent="0.25">
      <c r="C321" s="177"/>
      <c r="D321" s="178"/>
      <c r="E321" s="2"/>
      <c r="F321" s="178"/>
      <c r="G321" s="2"/>
      <c r="H321" s="2"/>
      <c r="I321" s="2"/>
    </row>
    <row r="322" spans="3:9" x14ac:dyDescent="0.25">
      <c r="C322" s="177"/>
      <c r="D322" s="178"/>
      <c r="E322" s="2"/>
      <c r="F322" s="178"/>
      <c r="G322" s="2"/>
      <c r="H322" s="2"/>
      <c r="I322" s="2"/>
    </row>
    <row r="323" spans="3:9" x14ac:dyDescent="0.25">
      <c r="C323" s="177"/>
      <c r="D323" s="178"/>
      <c r="E323" s="2"/>
      <c r="F323" s="178"/>
      <c r="G323" s="2"/>
      <c r="H323" s="2"/>
      <c r="I323" s="2"/>
    </row>
    <row r="324" spans="3:9" x14ac:dyDescent="0.25">
      <c r="C324" s="177"/>
      <c r="D324" s="178"/>
      <c r="E324" s="2"/>
      <c r="F324" s="178"/>
      <c r="G324" s="2"/>
      <c r="H324" s="2"/>
      <c r="I324" s="2"/>
    </row>
    <row r="325" spans="3:9" x14ac:dyDescent="0.25">
      <c r="C325" s="177"/>
      <c r="D325" s="178"/>
      <c r="E325" s="2"/>
      <c r="F325" s="178"/>
      <c r="G325" s="2"/>
      <c r="H325" s="2"/>
      <c r="I325" s="2"/>
    </row>
    <row r="326" spans="3:9" x14ac:dyDescent="0.25">
      <c r="C326" s="177"/>
      <c r="D326" s="178"/>
      <c r="E326" s="2"/>
      <c r="F326" s="178"/>
      <c r="G326" s="2"/>
      <c r="H326" s="2"/>
      <c r="I326" s="2"/>
    </row>
    <row r="327" spans="3:9" x14ac:dyDescent="0.25">
      <c r="C327" s="177"/>
      <c r="D327" s="178"/>
      <c r="E327" s="2"/>
      <c r="F327" s="178"/>
      <c r="G327" s="2"/>
      <c r="H327" s="2"/>
      <c r="I327" s="2"/>
    </row>
    <row r="328" spans="3:9" x14ac:dyDescent="0.25">
      <c r="C328" s="177"/>
      <c r="D328" s="178"/>
      <c r="E328" s="2"/>
      <c r="F328" s="178"/>
      <c r="G328" s="2"/>
      <c r="H328" s="2"/>
      <c r="I328" s="2"/>
    </row>
    <row r="329" spans="3:9" x14ac:dyDescent="0.25">
      <c r="C329" s="177"/>
      <c r="D329" s="178"/>
      <c r="E329" s="2"/>
      <c r="F329" s="178"/>
      <c r="G329" s="2"/>
      <c r="H329" s="2"/>
      <c r="I329" s="2"/>
    </row>
    <row r="330" spans="3:9" x14ac:dyDescent="0.25">
      <c r="C330" s="177"/>
      <c r="D330" s="178"/>
      <c r="E330" s="2"/>
      <c r="F330" s="178"/>
      <c r="G330" s="2"/>
      <c r="H330" s="2"/>
      <c r="I330" s="2"/>
    </row>
    <row r="331" spans="3:9" x14ac:dyDescent="0.25">
      <c r="C331" s="177"/>
      <c r="D331" s="178"/>
      <c r="E331" s="2"/>
      <c r="F331" s="178"/>
      <c r="G331" s="2"/>
      <c r="H331" s="2"/>
      <c r="I331" s="2"/>
    </row>
    <row r="332" spans="3:9" x14ac:dyDescent="0.25">
      <c r="C332" s="177"/>
      <c r="D332" s="178"/>
      <c r="E332" s="2"/>
      <c r="F332" s="178"/>
      <c r="G332" s="2"/>
      <c r="H332" s="2"/>
      <c r="I332" s="2"/>
    </row>
    <row r="333" spans="3:9" x14ac:dyDescent="0.25">
      <c r="C333" s="177"/>
      <c r="D333" s="178"/>
      <c r="E333" s="2"/>
      <c r="F333" s="178"/>
      <c r="G333" s="2"/>
      <c r="H333" s="2"/>
      <c r="I333" s="2"/>
    </row>
    <row r="334" spans="3:9" x14ac:dyDescent="0.25">
      <c r="C334" s="177"/>
      <c r="D334" s="178"/>
      <c r="E334" s="2"/>
      <c r="F334" s="178"/>
      <c r="G334" s="2"/>
      <c r="H334" s="2"/>
      <c r="I334" s="2"/>
    </row>
    <row r="335" spans="3:9" x14ac:dyDescent="0.25">
      <c r="C335" s="177"/>
      <c r="D335" s="178"/>
      <c r="E335" s="2"/>
      <c r="F335" s="178"/>
      <c r="G335" s="2"/>
      <c r="H335" s="2"/>
      <c r="I335" s="2"/>
    </row>
    <row r="336" spans="3:9" x14ac:dyDescent="0.25">
      <c r="C336" s="177"/>
      <c r="D336" s="178"/>
      <c r="E336" s="2"/>
      <c r="F336" s="178"/>
      <c r="G336" s="2"/>
      <c r="H336" s="2"/>
      <c r="I336" s="2"/>
    </row>
    <row r="337" spans="3:9" x14ac:dyDescent="0.25">
      <c r="C337" s="177"/>
      <c r="D337" s="178"/>
      <c r="E337" s="2"/>
      <c r="F337" s="178"/>
      <c r="G337" s="2"/>
      <c r="H337" s="2"/>
      <c r="I337" s="2"/>
    </row>
    <row r="338" spans="3:9" x14ac:dyDescent="0.25">
      <c r="C338" s="177"/>
      <c r="D338" s="178"/>
      <c r="E338" s="2"/>
      <c r="F338" s="178"/>
      <c r="G338" s="2"/>
      <c r="H338" s="2"/>
      <c r="I338" s="2"/>
    </row>
    <row r="339" spans="3:9" x14ac:dyDescent="0.25">
      <c r="C339" s="177"/>
      <c r="D339" s="178"/>
      <c r="E339" s="2"/>
      <c r="F339" s="178"/>
      <c r="G339" s="2"/>
      <c r="H339" s="2"/>
      <c r="I339" s="2"/>
    </row>
    <row r="340" spans="3:9" x14ac:dyDescent="0.25">
      <c r="C340" s="177"/>
      <c r="D340" s="178"/>
      <c r="E340" s="2"/>
      <c r="F340" s="178"/>
      <c r="G340" s="2"/>
      <c r="H340" s="2"/>
      <c r="I340" s="2"/>
    </row>
    <row r="341" spans="3:9" x14ac:dyDescent="0.25">
      <c r="C341" s="177"/>
      <c r="D341" s="178"/>
      <c r="E341" s="2"/>
      <c r="F341" s="178"/>
      <c r="G341" s="2"/>
      <c r="H341" s="2"/>
      <c r="I341" s="2"/>
    </row>
    <row r="342" spans="3:9" x14ac:dyDescent="0.25">
      <c r="C342" s="177"/>
      <c r="D342" s="178"/>
      <c r="E342" s="2"/>
      <c r="F342" s="178"/>
      <c r="G342" s="2"/>
      <c r="H342" s="2"/>
      <c r="I342" s="2"/>
    </row>
    <row r="343" spans="3:9" x14ac:dyDescent="0.25">
      <c r="C343" s="177"/>
      <c r="D343" s="178"/>
      <c r="E343" s="2"/>
      <c r="F343" s="178"/>
      <c r="G343" s="2"/>
      <c r="H343" s="2"/>
      <c r="I343" s="2"/>
    </row>
    <row r="344" spans="3:9" x14ac:dyDescent="0.25">
      <c r="C344" s="177"/>
      <c r="D344" s="178"/>
      <c r="E344" s="2"/>
      <c r="F344" s="178"/>
      <c r="G344" s="2"/>
      <c r="H344" s="2"/>
      <c r="I344" s="2"/>
    </row>
    <row r="345" spans="3:9" x14ac:dyDescent="0.25">
      <c r="C345" s="177"/>
      <c r="D345" s="178"/>
      <c r="E345" s="2"/>
      <c r="F345" s="178"/>
      <c r="G345" s="2"/>
      <c r="H345" s="2"/>
      <c r="I345" s="2"/>
    </row>
    <row r="346" spans="3:9" x14ac:dyDescent="0.25">
      <c r="C346" s="177"/>
      <c r="D346" s="178"/>
      <c r="E346" s="2"/>
      <c r="F346" s="178"/>
      <c r="G346" s="2"/>
      <c r="H346" s="2"/>
      <c r="I346" s="2"/>
    </row>
    <row r="347" spans="3:9" x14ac:dyDescent="0.25">
      <c r="C347" s="177"/>
      <c r="D347" s="178"/>
      <c r="E347" s="2"/>
      <c r="F347" s="178"/>
      <c r="G347" s="2"/>
      <c r="H347" s="2"/>
      <c r="I347" s="2"/>
    </row>
    <row r="348" spans="3:9" x14ac:dyDescent="0.25">
      <c r="C348" s="177"/>
      <c r="D348" s="178"/>
      <c r="E348" s="2"/>
      <c r="F348" s="178"/>
      <c r="G348" s="2"/>
      <c r="H348" s="2"/>
      <c r="I348" s="2"/>
    </row>
    <row r="349" spans="3:9" x14ac:dyDescent="0.25">
      <c r="C349" s="177"/>
      <c r="D349" s="178"/>
      <c r="E349" s="2"/>
      <c r="F349" s="178"/>
      <c r="G349" s="2"/>
      <c r="H349" s="2"/>
      <c r="I349" s="2"/>
    </row>
    <row r="350" spans="3:9" x14ac:dyDescent="0.25">
      <c r="C350" s="177"/>
      <c r="D350" s="178"/>
      <c r="E350" s="2"/>
      <c r="F350" s="178"/>
      <c r="G350" s="2"/>
      <c r="H350" s="2"/>
      <c r="I350" s="2"/>
    </row>
    <row r="351" spans="3:9" x14ac:dyDescent="0.25">
      <c r="C351" s="177"/>
      <c r="D351" s="178"/>
      <c r="E351" s="2"/>
      <c r="F351" s="178"/>
      <c r="G351" s="2"/>
      <c r="H351" s="2"/>
      <c r="I351" s="2"/>
    </row>
    <row r="352" spans="3:9" x14ac:dyDescent="0.25">
      <c r="C352" s="177"/>
      <c r="D352" s="178"/>
      <c r="E352" s="2"/>
      <c r="F352" s="178"/>
      <c r="G352" s="2"/>
      <c r="H352" s="2"/>
      <c r="I352" s="2"/>
    </row>
    <row r="353" spans="3:9" x14ac:dyDescent="0.25">
      <c r="C353" s="177"/>
      <c r="D353" s="178"/>
      <c r="E353" s="2"/>
      <c r="F353" s="178"/>
      <c r="G353" s="2"/>
      <c r="H353" s="2"/>
      <c r="I353" s="2"/>
    </row>
    <row r="354" spans="3:9" x14ac:dyDescent="0.25">
      <c r="C354" s="177"/>
      <c r="D354" s="178"/>
      <c r="E354" s="2"/>
      <c r="F354" s="178"/>
      <c r="G354" s="2"/>
      <c r="H354" s="2"/>
      <c r="I354" s="2"/>
    </row>
    <row r="355" spans="3:9" x14ac:dyDescent="0.25">
      <c r="C355" s="177"/>
      <c r="D355" s="178"/>
      <c r="E355" s="179"/>
      <c r="F355" s="178"/>
      <c r="G355" s="179"/>
      <c r="H355" s="179"/>
      <c r="I355" s="179"/>
    </row>
    <row r="356" spans="3:9" x14ac:dyDescent="0.25">
      <c r="C356" s="177"/>
      <c r="D356" s="178"/>
      <c r="E356" s="179"/>
      <c r="F356" s="178"/>
      <c r="G356" s="179"/>
      <c r="H356" s="179"/>
      <c r="I356" s="179"/>
    </row>
    <row r="357" spans="3:9" x14ac:dyDescent="0.25">
      <c r="C357" s="177"/>
      <c r="D357" s="178"/>
      <c r="E357" s="179"/>
      <c r="F357" s="178"/>
      <c r="G357" s="179"/>
      <c r="H357" s="179"/>
      <c r="I357" s="179"/>
    </row>
    <row r="358" spans="3:9" x14ac:dyDescent="0.25">
      <c r="C358" s="177"/>
      <c r="D358" s="178"/>
      <c r="E358" s="179"/>
      <c r="F358" s="178"/>
      <c r="G358" s="179"/>
      <c r="H358" s="179"/>
      <c r="I358" s="179"/>
    </row>
    <row r="359" spans="3:9" x14ac:dyDescent="0.25">
      <c r="C359" s="177"/>
      <c r="D359" s="178"/>
      <c r="E359" s="179"/>
      <c r="F359" s="178"/>
      <c r="G359" s="179"/>
      <c r="H359" s="179"/>
      <c r="I359" s="179"/>
    </row>
    <row r="360" spans="3:9" x14ac:dyDescent="0.25">
      <c r="C360" s="177"/>
      <c r="D360" s="178"/>
      <c r="E360" s="179"/>
      <c r="F360" s="178"/>
      <c r="G360" s="179"/>
      <c r="H360" s="179"/>
      <c r="I360" s="179"/>
    </row>
    <row r="361" spans="3:9" x14ac:dyDescent="0.25">
      <c r="C361" s="177"/>
      <c r="D361" s="178"/>
      <c r="E361" s="179"/>
      <c r="F361" s="178"/>
      <c r="G361" s="179"/>
      <c r="H361" s="179"/>
      <c r="I361" s="179"/>
    </row>
    <row r="362" spans="3:9" x14ac:dyDescent="0.25">
      <c r="C362" s="177"/>
      <c r="D362" s="178"/>
      <c r="E362" s="179"/>
      <c r="F362" s="178"/>
      <c r="G362" s="179"/>
      <c r="H362" s="179"/>
      <c r="I362" s="179"/>
    </row>
    <row r="363" spans="3:9" x14ac:dyDescent="0.25">
      <c r="C363" s="177"/>
      <c r="D363" s="178"/>
      <c r="E363" s="179"/>
      <c r="F363" s="178"/>
      <c r="G363" s="179"/>
      <c r="H363" s="179"/>
      <c r="I363" s="179"/>
    </row>
    <row r="364" spans="3:9" x14ac:dyDescent="0.25">
      <c r="C364" s="177"/>
      <c r="D364" s="178"/>
      <c r="E364" s="179"/>
      <c r="F364" s="178"/>
      <c r="G364" s="179"/>
      <c r="H364" s="179"/>
      <c r="I364" s="179"/>
    </row>
    <row r="365" spans="3:9" x14ac:dyDescent="0.25">
      <c r="C365" s="177"/>
      <c r="D365" s="178"/>
      <c r="E365" s="179"/>
      <c r="F365" s="178"/>
      <c r="G365" s="179"/>
      <c r="H365" s="179"/>
      <c r="I365" s="179"/>
    </row>
    <row r="366" spans="3:9" x14ac:dyDescent="0.25">
      <c r="C366" s="177"/>
      <c r="D366" s="178"/>
      <c r="E366" s="179"/>
      <c r="F366" s="178"/>
      <c r="G366" s="179"/>
      <c r="H366" s="179"/>
      <c r="I366" s="179"/>
    </row>
    <row r="367" spans="3:9" x14ac:dyDescent="0.25">
      <c r="C367" s="177"/>
      <c r="D367" s="178"/>
      <c r="E367" s="179"/>
      <c r="F367" s="178"/>
      <c r="G367" s="179"/>
      <c r="H367" s="179"/>
      <c r="I367" s="179"/>
    </row>
    <row r="368" spans="3:9" x14ac:dyDescent="0.25">
      <c r="C368" s="177"/>
      <c r="D368" s="178"/>
      <c r="E368" s="179"/>
      <c r="F368" s="178"/>
      <c r="G368" s="179"/>
      <c r="H368" s="179"/>
      <c r="I368" s="179"/>
    </row>
    <row r="369" spans="3:9" x14ac:dyDescent="0.25">
      <c r="C369" s="177"/>
      <c r="D369" s="178"/>
      <c r="E369" s="179"/>
      <c r="F369" s="178"/>
      <c r="G369" s="179"/>
      <c r="H369" s="179"/>
      <c r="I369" s="179"/>
    </row>
    <row r="370" spans="3:9" x14ac:dyDescent="0.25">
      <c r="C370" s="177"/>
      <c r="D370" s="178"/>
      <c r="E370" s="179"/>
      <c r="F370" s="178"/>
      <c r="G370" s="179"/>
      <c r="H370" s="179"/>
      <c r="I370" s="179"/>
    </row>
    <row r="371" spans="3:9" x14ac:dyDescent="0.25">
      <c r="C371" s="177"/>
      <c r="D371" s="178"/>
      <c r="E371" s="179"/>
      <c r="F371" s="178"/>
      <c r="G371" s="179"/>
      <c r="H371" s="179"/>
      <c r="I371" s="179"/>
    </row>
    <row r="372" spans="3:9" x14ac:dyDescent="0.25">
      <c r="C372" s="177"/>
      <c r="D372" s="178"/>
      <c r="E372" s="179"/>
      <c r="F372" s="178"/>
      <c r="G372" s="179"/>
      <c r="H372" s="179"/>
      <c r="I372" s="179"/>
    </row>
    <row r="373" spans="3:9" x14ac:dyDescent="0.25">
      <c r="C373" s="177"/>
      <c r="D373" s="178"/>
      <c r="E373" s="179"/>
      <c r="F373" s="178"/>
      <c r="G373" s="179"/>
      <c r="H373" s="179"/>
      <c r="I373" s="179"/>
    </row>
    <row r="374" spans="3:9" x14ac:dyDescent="0.25">
      <c r="C374" s="177"/>
      <c r="D374" s="178"/>
      <c r="E374" s="179"/>
      <c r="F374" s="178"/>
      <c r="G374" s="179"/>
      <c r="H374" s="179"/>
      <c r="I374" s="179"/>
    </row>
    <row r="375" spans="3:9" x14ac:dyDescent="0.25">
      <c r="C375" s="177"/>
      <c r="D375" s="178"/>
      <c r="E375" s="179"/>
      <c r="F375" s="178"/>
      <c r="G375" s="179"/>
      <c r="H375" s="179"/>
      <c r="I375" s="179"/>
    </row>
    <row r="376" spans="3:9" x14ac:dyDescent="0.25">
      <c r="C376" s="177"/>
      <c r="D376" s="178"/>
      <c r="E376" s="179"/>
      <c r="F376" s="178"/>
      <c r="G376" s="179"/>
      <c r="H376" s="179"/>
      <c r="I376" s="179"/>
    </row>
    <row r="377" spans="3:9" x14ac:dyDescent="0.25">
      <c r="C377" s="177"/>
      <c r="D377" s="178"/>
      <c r="E377" s="179"/>
      <c r="F377" s="178"/>
      <c r="G377" s="179"/>
      <c r="H377" s="179"/>
      <c r="I377" s="179"/>
    </row>
    <row r="378" spans="3:9" x14ac:dyDescent="0.25">
      <c r="C378" s="177"/>
      <c r="D378" s="178"/>
      <c r="E378" s="179"/>
      <c r="F378" s="178"/>
      <c r="G378" s="179"/>
      <c r="H378" s="179"/>
      <c r="I378" s="179"/>
    </row>
    <row r="379" spans="3:9" x14ac:dyDescent="0.25">
      <c r="C379" s="177"/>
      <c r="D379" s="178"/>
      <c r="E379" s="179"/>
      <c r="F379" s="178"/>
      <c r="G379" s="179"/>
      <c r="H379" s="179"/>
      <c r="I379" s="179"/>
    </row>
    <row r="380" spans="3:9" x14ac:dyDescent="0.25">
      <c r="C380" s="177"/>
      <c r="D380" s="178"/>
      <c r="E380" s="179"/>
      <c r="F380" s="178"/>
      <c r="G380" s="179"/>
      <c r="H380" s="179"/>
      <c r="I380" s="179"/>
    </row>
    <row r="381" spans="3:9" x14ac:dyDescent="0.25">
      <c r="C381" s="177"/>
      <c r="D381" s="178"/>
      <c r="E381" s="179"/>
      <c r="F381" s="178"/>
      <c r="G381" s="179"/>
      <c r="H381" s="179"/>
      <c r="I381" s="179"/>
    </row>
    <row r="382" spans="3:9" x14ac:dyDescent="0.25">
      <c r="C382" s="177"/>
      <c r="D382" s="178"/>
      <c r="E382" s="179"/>
      <c r="F382" s="178"/>
      <c r="G382" s="179"/>
      <c r="H382" s="179"/>
      <c r="I382" s="179"/>
    </row>
    <row r="383" spans="3:9" x14ac:dyDescent="0.25">
      <c r="C383" s="177"/>
      <c r="D383" s="178"/>
      <c r="E383" s="179"/>
      <c r="F383" s="178"/>
      <c r="G383" s="179"/>
      <c r="H383" s="179"/>
      <c r="I383" s="179"/>
    </row>
    <row r="384" spans="3:9" x14ac:dyDescent="0.25">
      <c r="C384" s="177"/>
      <c r="D384" s="178"/>
      <c r="E384" s="179"/>
      <c r="F384" s="178"/>
      <c r="G384" s="179"/>
      <c r="H384" s="179"/>
      <c r="I384" s="179"/>
    </row>
    <row r="385" spans="3:9" x14ac:dyDescent="0.25">
      <c r="C385" s="177"/>
      <c r="D385" s="178"/>
      <c r="E385" s="179"/>
      <c r="F385" s="178"/>
      <c r="G385" s="179"/>
      <c r="H385" s="179"/>
      <c r="I385" s="179"/>
    </row>
    <row r="386" spans="3:9" x14ac:dyDescent="0.25">
      <c r="C386" s="177"/>
      <c r="D386" s="178"/>
      <c r="E386" s="179"/>
      <c r="F386" s="178"/>
      <c r="G386" s="179"/>
      <c r="H386" s="179"/>
      <c r="I386" s="179"/>
    </row>
    <row r="387" spans="3:9" x14ac:dyDescent="0.25">
      <c r="C387" s="177"/>
      <c r="D387" s="178"/>
      <c r="E387" s="179"/>
      <c r="F387" s="178"/>
      <c r="G387" s="179"/>
      <c r="H387" s="179"/>
      <c r="I387" s="179"/>
    </row>
    <row r="388" spans="3:9" x14ac:dyDescent="0.25">
      <c r="C388" s="177"/>
      <c r="D388" s="178"/>
      <c r="E388" s="179"/>
      <c r="F388" s="178"/>
      <c r="G388" s="179"/>
      <c r="H388" s="179"/>
      <c r="I388" s="179"/>
    </row>
    <row r="389" spans="3:9" x14ac:dyDescent="0.25">
      <c r="C389" s="177"/>
      <c r="D389" s="178"/>
      <c r="E389" s="179"/>
      <c r="F389" s="178"/>
      <c r="G389" s="179"/>
      <c r="H389" s="179"/>
      <c r="I389" s="179"/>
    </row>
    <row r="390" spans="3:9" x14ac:dyDescent="0.25">
      <c r="C390" s="177"/>
      <c r="D390" s="178"/>
      <c r="E390" s="179"/>
      <c r="F390" s="178"/>
      <c r="G390" s="179"/>
      <c r="H390" s="179"/>
      <c r="I390" s="179"/>
    </row>
    <row r="391" spans="3:9" x14ac:dyDescent="0.25">
      <c r="C391" s="177"/>
      <c r="D391" s="178"/>
      <c r="E391" s="179"/>
      <c r="F391" s="178"/>
      <c r="G391" s="179"/>
      <c r="H391" s="179"/>
      <c r="I391" s="179"/>
    </row>
    <row r="392" spans="3:9" x14ac:dyDescent="0.25">
      <c r="C392" s="177"/>
      <c r="D392" s="178"/>
      <c r="E392" s="179"/>
      <c r="F392" s="178"/>
      <c r="G392" s="179"/>
      <c r="H392" s="179"/>
      <c r="I392" s="179"/>
    </row>
    <row r="393" spans="3:9" x14ac:dyDescent="0.25">
      <c r="C393" s="177"/>
      <c r="D393" s="178"/>
      <c r="E393" s="179"/>
      <c r="F393" s="178"/>
      <c r="G393" s="179"/>
      <c r="H393" s="179"/>
      <c r="I393" s="179"/>
    </row>
    <row r="394" spans="3:9" x14ac:dyDescent="0.25">
      <c r="C394" s="177"/>
      <c r="D394" s="178"/>
      <c r="E394" s="179"/>
      <c r="F394" s="178"/>
      <c r="G394" s="179"/>
      <c r="H394" s="179"/>
      <c r="I394" s="179"/>
    </row>
    <row r="395" spans="3:9" x14ac:dyDescent="0.25">
      <c r="C395" s="177"/>
      <c r="D395" s="178"/>
      <c r="E395" s="179"/>
      <c r="F395" s="178"/>
      <c r="G395" s="179"/>
      <c r="H395" s="179"/>
      <c r="I395" s="179"/>
    </row>
    <row r="396" spans="3:9" x14ac:dyDescent="0.25">
      <c r="C396" s="177"/>
      <c r="D396" s="178"/>
      <c r="E396" s="179"/>
      <c r="F396" s="178"/>
      <c r="G396" s="179"/>
      <c r="H396" s="179"/>
      <c r="I396" s="179"/>
    </row>
    <row r="397" spans="3:9" x14ac:dyDescent="0.25">
      <c r="C397" s="177"/>
      <c r="D397" s="178"/>
      <c r="E397" s="179"/>
      <c r="F397" s="178"/>
      <c r="G397" s="179"/>
      <c r="H397" s="179"/>
      <c r="I397" s="179"/>
    </row>
    <row r="398" spans="3:9" x14ac:dyDescent="0.25">
      <c r="C398" s="177"/>
      <c r="D398" s="178"/>
      <c r="E398" s="179"/>
      <c r="F398" s="178"/>
      <c r="G398" s="179"/>
      <c r="H398" s="179"/>
      <c r="I398" s="179"/>
    </row>
    <row r="399" spans="3:9" x14ac:dyDescent="0.25">
      <c r="C399" s="177"/>
      <c r="D399" s="178"/>
      <c r="E399" s="179"/>
      <c r="F399" s="178"/>
      <c r="G399" s="179"/>
      <c r="H399" s="179"/>
      <c r="I399" s="179"/>
    </row>
    <row r="400" spans="3:9" x14ac:dyDescent="0.25">
      <c r="C400" s="177"/>
      <c r="D400" s="178"/>
      <c r="E400" s="179"/>
      <c r="F400" s="178"/>
      <c r="G400" s="179"/>
      <c r="H400" s="179"/>
      <c r="I400" s="179"/>
    </row>
    <row r="401" spans="3:9" x14ac:dyDescent="0.25">
      <c r="C401" s="177"/>
      <c r="D401" s="178"/>
      <c r="E401" s="179"/>
      <c r="F401" s="178"/>
      <c r="G401" s="179"/>
      <c r="H401" s="179"/>
      <c r="I401" s="179"/>
    </row>
    <row r="402" spans="3:9" x14ac:dyDescent="0.25">
      <c r="C402" s="177"/>
      <c r="D402" s="178"/>
      <c r="E402" s="179"/>
      <c r="F402" s="178"/>
      <c r="G402" s="179"/>
      <c r="H402" s="179"/>
      <c r="I402" s="179"/>
    </row>
    <row r="403" spans="3:9" x14ac:dyDescent="0.25">
      <c r="C403" s="177"/>
      <c r="D403" s="178"/>
      <c r="E403" s="179"/>
      <c r="F403" s="178"/>
      <c r="G403" s="179"/>
      <c r="H403" s="179"/>
      <c r="I403" s="179"/>
    </row>
    <row r="404" spans="3:9" x14ac:dyDescent="0.25">
      <c r="C404" s="177"/>
      <c r="D404" s="178"/>
      <c r="E404" s="179"/>
      <c r="F404" s="178"/>
      <c r="G404" s="179"/>
      <c r="H404" s="179"/>
      <c r="I404" s="179"/>
    </row>
    <row r="405" spans="3:9" x14ac:dyDescent="0.25">
      <c r="C405" s="177"/>
      <c r="D405" s="178"/>
      <c r="E405" s="179"/>
      <c r="F405" s="178"/>
      <c r="G405" s="179"/>
      <c r="H405" s="179"/>
      <c r="I405" s="179"/>
    </row>
    <row r="406" spans="3:9" x14ac:dyDescent="0.25">
      <c r="C406" s="177"/>
      <c r="D406" s="178"/>
      <c r="E406" s="179"/>
      <c r="F406" s="178"/>
      <c r="G406" s="179"/>
      <c r="H406" s="179"/>
      <c r="I406" s="179"/>
    </row>
    <row r="407" spans="3:9" x14ac:dyDescent="0.25">
      <c r="C407" s="177"/>
      <c r="D407" s="178"/>
      <c r="E407" s="179"/>
      <c r="F407" s="178"/>
      <c r="G407" s="179"/>
      <c r="H407" s="179"/>
      <c r="I407" s="179"/>
    </row>
    <row r="408" spans="3:9" x14ac:dyDescent="0.25">
      <c r="C408" s="177"/>
      <c r="D408" s="178"/>
      <c r="E408" s="179"/>
      <c r="F408" s="178"/>
      <c r="G408" s="179"/>
      <c r="H408" s="179"/>
      <c r="I408" s="179"/>
    </row>
    <row r="409" spans="3:9" x14ac:dyDescent="0.25">
      <c r="C409" s="177"/>
      <c r="D409" s="178"/>
      <c r="E409" s="179"/>
      <c r="F409" s="178"/>
      <c r="G409" s="179"/>
      <c r="H409" s="179"/>
      <c r="I409" s="179"/>
    </row>
    <row r="410" spans="3:9" x14ac:dyDescent="0.25">
      <c r="C410" s="177"/>
      <c r="D410" s="178"/>
      <c r="E410" s="179"/>
      <c r="F410" s="178"/>
      <c r="G410" s="179"/>
      <c r="H410" s="179"/>
      <c r="I410" s="179"/>
    </row>
    <row r="411" spans="3:9" x14ac:dyDescent="0.25">
      <c r="C411" s="177"/>
      <c r="D411" s="178"/>
      <c r="E411" s="179"/>
      <c r="F411" s="178"/>
      <c r="G411" s="179"/>
      <c r="H411" s="179"/>
      <c r="I411" s="179"/>
    </row>
    <row r="412" spans="3:9" x14ac:dyDescent="0.25">
      <c r="C412" s="177"/>
      <c r="D412" s="178"/>
      <c r="E412" s="179"/>
      <c r="F412" s="178"/>
      <c r="G412" s="179"/>
      <c r="H412" s="179"/>
      <c r="I412" s="179"/>
    </row>
    <row r="413" spans="3:9" x14ac:dyDescent="0.25">
      <c r="C413" s="177"/>
      <c r="D413" s="178"/>
      <c r="E413" s="179"/>
      <c r="F413" s="178"/>
      <c r="G413" s="179"/>
      <c r="H413" s="179"/>
      <c r="I413" s="179"/>
    </row>
    <row r="414" spans="3:9" x14ac:dyDescent="0.25">
      <c r="C414" s="177"/>
      <c r="D414" s="178"/>
      <c r="E414" s="179"/>
      <c r="F414" s="178"/>
      <c r="G414" s="179"/>
      <c r="H414" s="179"/>
      <c r="I414" s="179"/>
    </row>
    <row r="415" spans="3:9" x14ac:dyDescent="0.25">
      <c r="C415" s="177"/>
      <c r="D415" s="178"/>
      <c r="E415" s="179"/>
      <c r="F415" s="178"/>
      <c r="G415" s="179"/>
      <c r="H415" s="179"/>
      <c r="I415" s="179"/>
    </row>
    <row r="416" spans="3:9" x14ac:dyDescent="0.25">
      <c r="C416" s="177"/>
      <c r="D416" s="178"/>
      <c r="E416" s="179"/>
      <c r="F416" s="178"/>
      <c r="G416" s="179"/>
      <c r="H416" s="179"/>
      <c r="I416" s="179"/>
    </row>
    <row r="417" spans="3:9" x14ac:dyDescent="0.25">
      <c r="C417" s="177"/>
      <c r="D417" s="178"/>
      <c r="E417" s="179"/>
      <c r="F417" s="178"/>
      <c r="G417" s="179"/>
      <c r="H417" s="179"/>
      <c r="I417" s="179"/>
    </row>
    <row r="418" spans="3:9" x14ac:dyDescent="0.25">
      <c r="C418" s="177"/>
      <c r="D418" s="178"/>
      <c r="E418" s="179"/>
      <c r="F418" s="178"/>
      <c r="G418" s="179"/>
      <c r="H418" s="179"/>
      <c r="I418" s="179"/>
    </row>
    <row r="419" spans="3:9" x14ac:dyDescent="0.25">
      <c r="C419" s="177"/>
      <c r="D419" s="178"/>
      <c r="E419" s="179"/>
      <c r="F419" s="178"/>
      <c r="G419" s="179"/>
      <c r="H419" s="179"/>
      <c r="I419" s="179"/>
    </row>
    <row r="420" spans="3:9" x14ac:dyDescent="0.25">
      <c r="C420" s="177"/>
      <c r="D420" s="178"/>
      <c r="E420" s="179"/>
      <c r="F420" s="178"/>
      <c r="G420" s="179"/>
      <c r="H420" s="179"/>
      <c r="I420" s="179"/>
    </row>
    <row r="421" spans="3:9" x14ac:dyDescent="0.25">
      <c r="C421" s="177"/>
      <c r="D421" s="178"/>
      <c r="E421" s="179"/>
      <c r="F421" s="178"/>
      <c r="G421" s="179"/>
      <c r="H421" s="179"/>
      <c r="I421" s="179"/>
    </row>
    <row r="422" spans="3:9" x14ac:dyDescent="0.25">
      <c r="C422" s="177"/>
      <c r="D422" s="178"/>
      <c r="E422" s="179"/>
      <c r="F422" s="178"/>
      <c r="G422" s="179"/>
      <c r="H422" s="179"/>
      <c r="I422" s="179"/>
    </row>
    <row r="423" spans="3:9" x14ac:dyDescent="0.25">
      <c r="C423" s="177"/>
      <c r="D423" s="178"/>
      <c r="E423" s="179"/>
      <c r="F423" s="178"/>
      <c r="G423" s="179"/>
      <c r="H423" s="179"/>
      <c r="I423" s="179"/>
    </row>
    <row r="424" spans="3:9" x14ac:dyDescent="0.25">
      <c r="C424" s="177"/>
      <c r="D424" s="178"/>
      <c r="E424" s="179"/>
      <c r="F424" s="178"/>
      <c r="G424" s="179"/>
      <c r="H424" s="179"/>
      <c r="I424" s="179"/>
    </row>
    <row r="425" spans="3:9" x14ac:dyDescent="0.25">
      <c r="C425" s="177"/>
      <c r="D425" s="178"/>
      <c r="E425" s="179"/>
      <c r="F425" s="178"/>
      <c r="G425" s="179"/>
      <c r="H425" s="179"/>
      <c r="I425" s="179"/>
    </row>
    <row r="426" spans="3:9" x14ac:dyDescent="0.25">
      <c r="C426" s="177"/>
      <c r="D426" s="178"/>
      <c r="E426" s="179"/>
      <c r="F426" s="178"/>
      <c r="G426" s="179"/>
      <c r="H426" s="179"/>
      <c r="I426" s="179"/>
    </row>
    <row r="427" spans="3:9" x14ac:dyDescent="0.25">
      <c r="C427" s="177"/>
      <c r="D427" s="178"/>
      <c r="E427" s="179"/>
      <c r="F427" s="178"/>
      <c r="G427" s="179"/>
      <c r="H427" s="179"/>
      <c r="I427" s="179"/>
    </row>
    <row r="428" spans="3:9" x14ac:dyDescent="0.25">
      <c r="C428" s="177"/>
      <c r="D428" s="178"/>
      <c r="E428" s="179"/>
      <c r="F428" s="178"/>
      <c r="G428" s="179"/>
      <c r="H428" s="179"/>
      <c r="I428" s="179"/>
    </row>
    <row r="429" spans="3:9" x14ac:dyDescent="0.25">
      <c r="C429" s="177"/>
      <c r="D429" s="178"/>
      <c r="E429" s="179"/>
      <c r="F429" s="178"/>
      <c r="G429" s="179"/>
      <c r="H429" s="179"/>
      <c r="I429" s="179"/>
    </row>
    <row r="430" spans="3:9" x14ac:dyDescent="0.25">
      <c r="C430" s="177"/>
      <c r="D430" s="178"/>
      <c r="E430" s="179"/>
      <c r="F430" s="178"/>
      <c r="G430" s="179"/>
      <c r="H430" s="179"/>
      <c r="I430" s="179"/>
    </row>
    <row r="431" spans="3:9" x14ac:dyDescent="0.25">
      <c r="C431" s="177"/>
      <c r="D431" s="178"/>
      <c r="E431" s="179"/>
      <c r="F431" s="178"/>
      <c r="G431" s="179"/>
      <c r="H431" s="179"/>
      <c r="I431" s="179"/>
    </row>
    <row r="432" spans="3:9" x14ac:dyDescent="0.25">
      <c r="C432" s="177"/>
      <c r="D432" s="178"/>
      <c r="E432" s="179"/>
      <c r="F432" s="178"/>
      <c r="G432" s="179"/>
      <c r="H432" s="179"/>
      <c r="I432" s="179"/>
    </row>
    <row r="433" spans="3:9" x14ac:dyDescent="0.25">
      <c r="C433" s="177"/>
      <c r="D433" s="178"/>
      <c r="E433" s="179"/>
      <c r="F433" s="178"/>
      <c r="G433" s="179"/>
      <c r="H433" s="179"/>
      <c r="I433" s="179"/>
    </row>
    <row r="434" spans="3:9" x14ac:dyDescent="0.25">
      <c r="C434" s="177"/>
      <c r="D434" s="178"/>
      <c r="E434" s="179"/>
      <c r="F434" s="178"/>
      <c r="G434" s="179"/>
      <c r="H434" s="179"/>
      <c r="I434" s="179"/>
    </row>
    <row r="435" spans="3:9" x14ac:dyDescent="0.25">
      <c r="C435" s="177"/>
      <c r="D435" s="178"/>
      <c r="E435" s="179"/>
      <c r="F435" s="178"/>
      <c r="G435" s="179"/>
      <c r="H435" s="179"/>
      <c r="I435" s="179"/>
    </row>
    <row r="436" spans="3:9" x14ac:dyDescent="0.25">
      <c r="C436" s="177"/>
      <c r="D436" s="178"/>
      <c r="E436" s="179"/>
      <c r="F436" s="178"/>
      <c r="G436" s="179"/>
      <c r="H436" s="179"/>
      <c r="I436" s="179"/>
    </row>
    <row r="437" spans="3:9" x14ac:dyDescent="0.25">
      <c r="C437" s="177"/>
      <c r="D437" s="178"/>
      <c r="E437" s="179"/>
      <c r="F437" s="178"/>
      <c r="G437" s="179"/>
      <c r="H437" s="179"/>
      <c r="I437" s="179"/>
    </row>
    <row r="438" spans="3:9" x14ac:dyDescent="0.25">
      <c r="C438" s="177"/>
      <c r="D438" s="178"/>
      <c r="E438" s="179"/>
      <c r="F438" s="178"/>
      <c r="G438" s="179"/>
      <c r="H438" s="179"/>
      <c r="I438" s="179"/>
    </row>
    <row r="439" spans="3:9" x14ac:dyDescent="0.25">
      <c r="C439" s="177"/>
      <c r="D439" s="178"/>
      <c r="E439" s="179"/>
      <c r="F439" s="178"/>
      <c r="G439" s="179"/>
      <c r="H439" s="179"/>
      <c r="I439" s="179"/>
    </row>
    <row r="440" spans="3:9" x14ac:dyDescent="0.25">
      <c r="C440" s="177"/>
      <c r="D440" s="178"/>
      <c r="E440" s="179"/>
      <c r="F440" s="178"/>
      <c r="G440" s="179"/>
      <c r="H440" s="179"/>
      <c r="I440" s="179"/>
    </row>
    <row r="441" spans="3:9" x14ac:dyDescent="0.25">
      <c r="C441" s="177"/>
      <c r="D441" s="178"/>
      <c r="E441" s="179"/>
      <c r="F441" s="178"/>
      <c r="G441" s="179"/>
      <c r="H441" s="179"/>
      <c r="I441" s="179"/>
    </row>
    <row r="442" spans="3:9" x14ac:dyDescent="0.25">
      <c r="C442" s="177"/>
      <c r="D442" s="178"/>
      <c r="E442" s="179"/>
      <c r="F442" s="178"/>
      <c r="G442" s="179"/>
      <c r="H442" s="179"/>
      <c r="I442" s="179"/>
    </row>
    <row r="443" spans="3:9" x14ac:dyDescent="0.25">
      <c r="C443" s="177"/>
      <c r="D443" s="178"/>
      <c r="E443" s="179"/>
      <c r="F443" s="178"/>
      <c r="G443" s="179"/>
      <c r="H443" s="179"/>
      <c r="I443" s="179"/>
    </row>
    <row r="444" spans="3:9" x14ac:dyDescent="0.25">
      <c r="C444" s="177"/>
      <c r="D444" s="178"/>
      <c r="E444" s="179"/>
      <c r="F444" s="178"/>
      <c r="G444" s="179"/>
      <c r="H444" s="179"/>
      <c r="I444" s="179"/>
    </row>
    <row r="445" spans="3:9" x14ac:dyDescent="0.25">
      <c r="C445" s="177"/>
      <c r="D445" s="178"/>
      <c r="E445" s="179"/>
      <c r="F445" s="178"/>
      <c r="G445" s="179"/>
      <c r="H445" s="179"/>
      <c r="I445" s="179"/>
    </row>
    <row r="446" spans="3:9" x14ac:dyDescent="0.25">
      <c r="C446" s="177"/>
      <c r="D446" s="178"/>
      <c r="E446" s="179"/>
      <c r="F446" s="178"/>
      <c r="G446" s="179"/>
      <c r="H446" s="179"/>
      <c r="I446" s="179"/>
    </row>
    <row r="447" spans="3:9" x14ac:dyDescent="0.25">
      <c r="C447" s="177"/>
      <c r="D447" s="178"/>
      <c r="E447" s="179"/>
      <c r="F447" s="178"/>
      <c r="G447" s="179"/>
      <c r="H447" s="179"/>
      <c r="I447" s="179"/>
    </row>
    <row r="448" spans="3:9" x14ac:dyDescent="0.25">
      <c r="C448" s="177"/>
      <c r="D448" s="178"/>
      <c r="E448" s="179"/>
      <c r="F448" s="178"/>
      <c r="G448" s="179"/>
      <c r="H448" s="179"/>
      <c r="I448" s="179"/>
    </row>
    <row r="449" spans="3:9" x14ac:dyDescent="0.25">
      <c r="C449" s="177"/>
      <c r="D449" s="178"/>
      <c r="E449" s="179"/>
      <c r="F449" s="178"/>
      <c r="G449" s="179"/>
      <c r="H449" s="179"/>
      <c r="I449" s="179"/>
    </row>
    <row r="450" spans="3:9" x14ac:dyDescent="0.25">
      <c r="C450" s="177"/>
      <c r="D450" s="178"/>
      <c r="E450" s="179"/>
      <c r="F450" s="178"/>
      <c r="G450" s="179"/>
      <c r="H450" s="179"/>
      <c r="I450" s="179"/>
    </row>
    <row r="451" spans="3:9" x14ac:dyDescent="0.25">
      <c r="C451" s="177"/>
      <c r="D451" s="178"/>
      <c r="E451" s="179"/>
      <c r="F451" s="178"/>
      <c r="G451" s="179"/>
      <c r="H451" s="179"/>
      <c r="I451" s="179"/>
    </row>
    <row r="452" spans="3:9" x14ac:dyDescent="0.25">
      <c r="C452" s="177"/>
      <c r="D452" s="178"/>
      <c r="E452" s="179"/>
      <c r="F452" s="178"/>
      <c r="G452" s="179"/>
      <c r="H452" s="179"/>
      <c r="I452" s="179"/>
    </row>
    <row r="453" spans="3:9" x14ac:dyDescent="0.25">
      <c r="C453" s="177"/>
      <c r="D453" s="178"/>
      <c r="E453" s="179"/>
      <c r="F453" s="178"/>
      <c r="G453" s="179"/>
      <c r="H453" s="179"/>
      <c r="I453" s="179"/>
    </row>
    <row r="454" spans="3:9" x14ac:dyDescent="0.25">
      <c r="C454" s="177"/>
      <c r="D454" s="178"/>
      <c r="E454" s="179"/>
      <c r="F454" s="178"/>
      <c r="G454" s="179"/>
      <c r="H454" s="179"/>
      <c r="I454" s="179"/>
    </row>
    <row r="455" spans="3:9" x14ac:dyDescent="0.25">
      <c r="C455" s="177"/>
      <c r="D455" s="178"/>
      <c r="E455" s="179"/>
      <c r="F455" s="178"/>
      <c r="G455" s="179"/>
      <c r="H455" s="179"/>
      <c r="I455" s="179"/>
    </row>
    <row r="456" spans="3:9" x14ac:dyDescent="0.25">
      <c r="C456" s="177"/>
      <c r="D456" s="178"/>
      <c r="E456" s="179"/>
      <c r="F456" s="178"/>
      <c r="G456" s="179"/>
      <c r="H456" s="179"/>
      <c r="I456" s="179"/>
    </row>
    <row r="457" spans="3:9" x14ac:dyDescent="0.25">
      <c r="C457" s="177"/>
      <c r="D457" s="178"/>
      <c r="E457" s="179"/>
      <c r="F457" s="178"/>
      <c r="G457" s="179"/>
      <c r="H457" s="179"/>
      <c r="I457" s="179"/>
    </row>
    <row r="458" spans="3:9" x14ac:dyDescent="0.25">
      <c r="C458" s="177"/>
      <c r="D458" s="178"/>
      <c r="E458" s="179"/>
      <c r="F458" s="178"/>
      <c r="G458" s="179"/>
      <c r="H458" s="179"/>
      <c r="I458" s="179"/>
    </row>
    <row r="459" spans="3:9" x14ac:dyDescent="0.25">
      <c r="C459" s="177"/>
      <c r="D459" s="178"/>
      <c r="E459" s="179"/>
      <c r="F459" s="178"/>
      <c r="G459" s="179"/>
      <c r="H459" s="179"/>
      <c r="I459" s="179"/>
    </row>
    <row r="460" spans="3:9" x14ac:dyDescent="0.25">
      <c r="C460" s="177"/>
      <c r="D460" s="178"/>
      <c r="E460" s="179"/>
      <c r="F460" s="178"/>
      <c r="G460" s="179"/>
      <c r="H460" s="179"/>
      <c r="I460" s="179"/>
    </row>
    <row r="461" spans="3:9" x14ac:dyDescent="0.25">
      <c r="C461" s="177"/>
      <c r="D461" s="178"/>
      <c r="E461" s="179"/>
      <c r="F461" s="178"/>
      <c r="G461" s="179"/>
      <c r="H461" s="179"/>
      <c r="I461" s="179"/>
    </row>
    <row r="462" spans="3:9" x14ac:dyDescent="0.25">
      <c r="C462" s="177"/>
      <c r="D462" s="178"/>
      <c r="E462" s="179"/>
      <c r="F462" s="178"/>
      <c r="G462" s="179"/>
      <c r="H462" s="179"/>
      <c r="I462" s="179"/>
    </row>
    <row r="463" spans="3:9" x14ac:dyDescent="0.25">
      <c r="C463" s="177"/>
      <c r="D463" s="178"/>
      <c r="E463" s="179"/>
      <c r="F463" s="178"/>
      <c r="G463" s="179"/>
      <c r="H463" s="179"/>
      <c r="I463" s="179"/>
    </row>
    <row r="464" spans="3:9" x14ac:dyDescent="0.25">
      <c r="C464" s="177"/>
      <c r="D464" s="178"/>
      <c r="E464" s="179"/>
      <c r="F464" s="178"/>
      <c r="G464" s="179"/>
      <c r="H464" s="179"/>
      <c r="I464" s="179"/>
    </row>
    <row r="465" spans="3:9" x14ac:dyDescent="0.25">
      <c r="C465" s="177"/>
      <c r="D465" s="178"/>
      <c r="E465" s="179"/>
      <c r="F465" s="178"/>
      <c r="G465" s="179"/>
      <c r="H465" s="179"/>
      <c r="I465" s="179"/>
    </row>
    <row r="466" spans="3:9" x14ac:dyDescent="0.25">
      <c r="C466" s="177"/>
      <c r="D466" s="178"/>
      <c r="E466" s="179"/>
      <c r="F466" s="178"/>
      <c r="G466" s="179"/>
      <c r="H466" s="179"/>
      <c r="I466" s="179"/>
    </row>
    <row r="467" spans="3:9" x14ac:dyDescent="0.25">
      <c r="C467" s="177"/>
      <c r="D467" s="178"/>
      <c r="E467" s="179"/>
      <c r="F467" s="178"/>
      <c r="G467" s="179"/>
      <c r="H467" s="179"/>
      <c r="I467" s="179"/>
    </row>
    <row r="468" spans="3:9" x14ac:dyDescent="0.25">
      <c r="C468" s="177"/>
      <c r="D468" s="178"/>
      <c r="E468" s="179"/>
      <c r="F468" s="178"/>
      <c r="G468" s="179"/>
      <c r="H468" s="179"/>
      <c r="I468" s="179"/>
    </row>
    <row r="469" spans="3:9" x14ac:dyDescent="0.25">
      <c r="C469" s="177"/>
      <c r="D469" s="178"/>
      <c r="E469" s="179"/>
      <c r="F469" s="178"/>
      <c r="G469" s="179"/>
      <c r="H469" s="179"/>
      <c r="I469" s="179"/>
    </row>
    <row r="470" spans="3:9" x14ac:dyDescent="0.25">
      <c r="C470" s="177"/>
      <c r="D470" s="178"/>
      <c r="E470" s="179"/>
      <c r="F470" s="178"/>
      <c r="G470" s="179"/>
      <c r="H470" s="179"/>
      <c r="I470" s="179"/>
    </row>
    <row r="471" spans="3:9" x14ac:dyDescent="0.25">
      <c r="C471" s="177"/>
      <c r="D471" s="178"/>
      <c r="E471" s="179"/>
      <c r="F471" s="178"/>
      <c r="G471" s="179"/>
      <c r="H471" s="179"/>
      <c r="I471" s="179"/>
    </row>
    <row r="472" spans="3:9" x14ac:dyDescent="0.25">
      <c r="C472" s="177"/>
      <c r="D472" s="178"/>
      <c r="E472" s="179"/>
      <c r="F472" s="178"/>
      <c r="G472" s="179"/>
      <c r="H472" s="179"/>
      <c r="I472" s="179"/>
    </row>
    <row r="473" spans="3:9" x14ac:dyDescent="0.25">
      <c r="C473" s="177"/>
      <c r="D473" s="178"/>
      <c r="E473" s="179"/>
      <c r="F473" s="178"/>
      <c r="G473" s="179"/>
      <c r="H473" s="179"/>
      <c r="I473" s="179"/>
    </row>
    <row r="474" spans="3:9" x14ac:dyDescent="0.25">
      <c r="C474" s="177"/>
      <c r="D474" s="178"/>
      <c r="E474" s="179"/>
      <c r="F474" s="178"/>
      <c r="G474" s="179"/>
      <c r="H474" s="179"/>
      <c r="I474" s="179"/>
    </row>
    <row r="475" spans="3:9" x14ac:dyDescent="0.25">
      <c r="C475" s="177"/>
      <c r="D475" s="178"/>
      <c r="E475" s="179"/>
      <c r="F475" s="178"/>
      <c r="G475" s="179"/>
      <c r="H475" s="179"/>
      <c r="I475" s="179"/>
    </row>
    <row r="476" spans="3:9" x14ac:dyDescent="0.25">
      <c r="C476" s="177"/>
      <c r="D476" s="178"/>
      <c r="E476" s="179"/>
      <c r="F476" s="178"/>
      <c r="G476" s="179"/>
      <c r="H476" s="179"/>
      <c r="I476" s="179"/>
    </row>
    <row r="477" spans="3:9" x14ac:dyDescent="0.25">
      <c r="C477" s="177"/>
      <c r="D477" s="178"/>
      <c r="E477" s="179"/>
      <c r="F477" s="178"/>
      <c r="G477" s="179"/>
      <c r="H477" s="179"/>
      <c r="I477" s="179"/>
    </row>
    <row r="478" spans="3:9" x14ac:dyDescent="0.25">
      <c r="C478" s="177"/>
      <c r="D478" s="178"/>
      <c r="E478" s="179"/>
      <c r="F478" s="178"/>
      <c r="G478" s="179"/>
      <c r="H478" s="179"/>
      <c r="I478" s="179"/>
    </row>
    <row r="479" spans="3:9" x14ac:dyDescent="0.25">
      <c r="C479" s="177"/>
      <c r="D479" s="178"/>
      <c r="E479" s="179"/>
      <c r="F479" s="178"/>
      <c r="G479" s="179"/>
      <c r="H479" s="179"/>
      <c r="I479" s="179"/>
    </row>
    <row r="480" spans="3:9" x14ac:dyDescent="0.25">
      <c r="C480" s="177"/>
      <c r="D480" s="178"/>
      <c r="E480" s="179"/>
      <c r="F480" s="178"/>
      <c r="G480" s="179"/>
      <c r="H480" s="179"/>
      <c r="I480" s="179"/>
    </row>
    <row r="481" spans="3:9" x14ac:dyDescent="0.25">
      <c r="C481" s="177"/>
      <c r="D481" s="178"/>
      <c r="E481" s="179"/>
      <c r="F481" s="178"/>
      <c r="G481" s="179"/>
      <c r="H481" s="179"/>
      <c r="I481" s="179"/>
    </row>
    <row r="482" spans="3:9" x14ac:dyDescent="0.25">
      <c r="C482" s="177"/>
      <c r="D482" s="178"/>
      <c r="E482" s="179"/>
      <c r="F482" s="178"/>
      <c r="G482" s="179"/>
      <c r="H482" s="179"/>
      <c r="I482" s="179"/>
    </row>
    <row r="483" spans="3:9" x14ac:dyDescent="0.25">
      <c r="C483" s="177"/>
      <c r="D483" s="178"/>
      <c r="E483" s="179"/>
      <c r="F483" s="178"/>
      <c r="G483" s="179"/>
      <c r="H483" s="179"/>
      <c r="I483" s="179"/>
    </row>
    <row r="484" spans="3:9" x14ac:dyDescent="0.25">
      <c r="C484" s="177"/>
      <c r="D484" s="178"/>
      <c r="E484" s="179"/>
      <c r="F484" s="178"/>
      <c r="G484" s="179"/>
      <c r="H484" s="179"/>
      <c r="I484" s="179"/>
    </row>
    <row r="485" spans="3:9" x14ac:dyDescent="0.25">
      <c r="C485" s="177"/>
      <c r="D485" s="178"/>
      <c r="E485" s="179"/>
      <c r="F485" s="178"/>
      <c r="G485" s="179"/>
      <c r="H485" s="179"/>
      <c r="I485" s="179"/>
    </row>
    <row r="486" spans="3:9" x14ac:dyDescent="0.25">
      <c r="C486" s="177"/>
      <c r="D486" s="178"/>
      <c r="E486" s="179"/>
      <c r="F486" s="178"/>
      <c r="G486" s="179"/>
      <c r="H486" s="179"/>
      <c r="I486" s="179"/>
    </row>
    <row r="487" spans="3:9" x14ac:dyDescent="0.25">
      <c r="C487" s="177"/>
      <c r="D487" s="178"/>
      <c r="E487" s="179"/>
      <c r="F487" s="178"/>
      <c r="G487" s="179"/>
      <c r="H487" s="179"/>
      <c r="I487" s="179"/>
    </row>
    <row r="488" spans="3:9" x14ac:dyDescent="0.25">
      <c r="C488" s="177"/>
      <c r="D488" s="178"/>
      <c r="E488" s="179"/>
      <c r="F488" s="178"/>
      <c r="G488" s="179"/>
      <c r="H488" s="179"/>
      <c r="I488" s="179"/>
    </row>
    <row r="489" spans="3:9" x14ac:dyDescent="0.25">
      <c r="C489" s="177"/>
      <c r="D489" s="178"/>
      <c r="E489" s="179"/>
      <c r="F489" s="178"/>
      <c r="G489" s="179"/>
      <c r="H489" s="179"/>
      <c r="I489" s="179"/>
    </row>
    <row r="490" spans="3:9" x14ac:dyDescent="0.25">
      <c r="C490" s="177"/>
      <c r="D490" s="178"/>
      <c r="E490" s="179"/>
      <c r="F490" s="178"/>
      <c r="G490" s="179"/>
      <c r="H490" s="179"/>
      <c r="I490" s="179"/>
    </row>
    <row r="491" spans="3:9" x14ac:dyDescent="0.25">
      <c r="C491" s="177"/>
      <c r="D491" s="178"/>
      <c r="E491" s="179"/>
      <c r="F491" s="178"/>
      <c r="G491" s="179"/>
      <c r="H491" s="179"/>
      <c r="I491" s="179"/>
    </row>
    <row r="492" spans="3:9" x14ac:dyDescent="0.25">
      <c r="C492" s="177"/>
      <c r="D492" s="178"/>
      <c r="E492" s="179"/>
      <c r="F492" s="178"/>
      <c r="G492" s="179"/>
      <c r="H492" s="179"/>
      <c r="I492" s="179"/>
    </row>
    <row r="493" spans="3:9" x14ac:dyDescent="0.25">
      <c r="C493" s="177"/>
      <c r="D493" s="178"/>
      <c r="E493" s="179"/>
      <c r="F493" s="178"/>
      <c r="G493" s="179"/>
      <c r="H493" s="179"/>
      <c r="I493" s="179"/>
    </row>
    <row r="494" spans="3:9" x14ac:dyDescent="0.25">
      <c r="C494" s="177"/>
      <c r="D494" s="178"/>
      <c r="E494" s="179"/>
      <c r="F494" s="178"/>
      <c r="G494" s="179"/>
      <c r="H494" s="179"/>
      <c r="I494" s="179"/>
    </row>
    <row r="495" spans="3:9" x14ac:dyDescent="0.25">
      <c r="C495" s="177"/>
      <c r="D495" s="178"/>
      <c r="E495" s="179"/>
      <c r="F495" s="178"/>
      <c r="G495" s="179"/>
      <c r="H495" s="179"/>
      <c r="I495" s="179"/>
    </row>
    <row r="496" spans="3:9" x14ac:dyDescent="0.25">
      <c r="C496" s="177"/>
      <c r="D496" s="178"/>
      <c r="E496" s="179"/>
      <c r="F496" s="178"/>
      <c r="G496" s="179"/>
      <c r="H496" s="179"/>
      <c r="I496" s="179"/>
    </row>
    <row r="497" spans="3:9" x14ac:dyDescent="0.25">
      <c r="C497" s="177"/>
      <c r="D497" s="178"/>
      <c r="E497" s="179"/>
      <c r="F497" s="178"/>
      <c r="G497" s="179"/>
      <c r="H497" s="179"/>
      <c r="I497" s="179"/>
    </row>
    <row r="498" spans="3:9" x14ac:dyDescent="0.25">
      <c r="C498" s="177"/>
      <c r="D498" s="178"/>
      <c r="E498" s="179"/>
      <c r="F498" s="178"/>
      <c r="G498" s="179"/>
      <c r="H498" s="179"/>
      <c r="I498" s="179"/>
    </row>
    <row r="499" spans="3:9" x14ac:dyDescent="0.25">
      <c r="C499" s="177"/>
      <c r="D499" s="178"/>
      <c r="E499" s="179"/>
      <c r="F499" s="178"/>
      <c r="G499" s="179"/>
      <c r="H499" s="179"/>
      <c r="I499" s="179"/>
    </row>
    <row r="500" spans="3:9" x14ac:dyDescent="0.25">
      <c r="C500" s="177"/>
      <c r="D500" s="178"/>
      <c r="E500" s="179"/>
      <c r="F500" s="178"/>
      <c r="G500" s="179"/>
      <c r="H500" s="179"/>
      <c r="I500" s="179"/>
    </row>
    <row r="501" spans="3:9" x14ac:dyDescent="0.25">
      <c r="C501" s="177"/>
      <c r="D501" s="178"/>
      <c r="E501" s="179"/>
      <c r="F501" s="178"/>
      <c r="G501" s="179"/>
      <c r="H501" s="179"/>
      <c r="I501" s="179"/>
    </row>
    <row r="502" spans="3:9" x14ac:dyDescent="0.25">
      <c r="C502" s="177"/>
      <c r="D502" s="178"/>
      <c r="E502" s="179"/>
      <c r="F502" s="178"/>
      <c r="G502" s="179"/>
      <c r="H502" s="179"/>
      <c r="I502" s="179"/>
    </row>
    <row r="503" spans="3:9" x14ac:dyDescent="0.25">
      <c r="C503" s="177"/>
      <c r="D503" s="178"/>
      <c r="E503" s="179"/>
      <c r="F503" s="178"/>
      <c r="G503" s="179"/>
      <c r="H503" s="179"/>
      <c r="I503" s="179"/>
    </row>
    <row r="504" spans="3:9" x14ac:dyDescent="0.25">
      <c r="C504" s="177"/>
      <c r="D504" s="178"/>
      <c r="E504" s="179"/>
      <c r="F504" s="178"/>
      <c r="G504" s="179"/>
      <c r="H504" s="179"/>
      <c r="I504" s="179"/>
    </row>
    <row r="505" spans="3:9" x14ac:dyDescent="0.25">
      <c r="C505" s="177"/>
      <c r="D505" s="178"/>
      <c r="E505" s="179"/>
      <c r="F505" s="178"/>
      <c r="G505" s="179"/>
      <c r="H505" s="179"/>
      <c r="I505" s="179"/>
    </row>
    <row r="506" spans="3:9" x14ac:dyDescent="0.25">
      <c r="C506" s="177"/>
      <c r="D506" s="178"/>
      <c r="E506" s="179"/>
      <c r="F506" s="178"/>
      <c r="G506" s="179"/>
      <c r="H506" s="179"/>
      <c r="I506" s="179"/>
    </row>
    <row r="507" spans="3:9" x14ac:dyDescent="0.25">
      <c r="C507" s="177"/>
      <c r="D507" s="178"/>
      <c r="E507" s="179"/>
      <c r="F507" s="178"/>
      <c r="G507" s="179"/>
      <c r="H507" s="179"/>
      <c r="I507" s="179"/>
    </row>
    <row r="508" spans="3:9" x14ac:dyDescent="0.25">
      <c r="C508" s="177"/>
      <c r="D508" s="178"/>
      <c r="E508" s="179"/>
      <c r="F508" s="178"/>
      <c r="G508" s="179"/>
      <c r="H508" s="179"/>
      <c r="I508" s="179"/>
    </row>
    <row r="509" spans="3:9" x14ac:dyDescent="0.25">
      <c r="C509" s="177"/>
      <c r="D509" s="178"/>
      <c r="E509" s="179"/>
      <c r="F509" s="178"/>
      <c r="G509" s="179"/>
      <c r="H509" s="179"/>
      <c r="I509" s="179"/>
    </row>
    <row r="510" spans="3:9" x14ac:dyDescent="0.25">
      <c r="C510" s="177"/>
      <c r="D510" s="178"/>
      <c r="E510" s="179"/>
      <c r="F510" s="178"/>
      <c r="G510" s="179"/>
      <c r="H510" s="179"/>
      <c r="I510" s="179"/>
    </row>
    <row r="511" spans="3:9" x14ac:dyDescent="0.25">
      <c r="C511" s="177"/>
      <c r="D511" s="178"/>
      <c r="E511" s="179"/>
      <c r="F511" s="178"/>
      <c r="G511" s="179"/>
      <c r="H511" s="179"/>
      <c r="I511" s="179"/>
    </row>
    <row r="512" spans="3:9" x14ac:dyDescent="0.25">
      <c r="C512" s="177"/>
      <c r="D512" s="178"/>
      <c r="E512" s="179"/>
      <c r="F512" s="178"/>
      <c r="G512" s="179"/>
      <c r="H512" s="179"/>
      <c r="I512" s="179"/>
    </row>
    <row r="513" spans="3:9" x14ac:dyDescent="0.25">
      <c r="C513" s="177"/>
      <c r="D513" s="178"/>
      <c r="E513" s="179"/>
      <c r="F513" s="178"/>
      <c r="G513" s="179"/>
      <c r="H513" s="179"/>
      <c r="I513" s="179"/>
    </row>
    <row r="514" spans="3:9" x14ac:dyDescent="0.25">
      <c r="C514" s="177"/>
      <c r="D514" s="178"/>
      <c r="E514" s="179"/>
      <c r="F514" s="178"/>
      <c r="G514" s="179"/>
      <c r="H514" s="179"/>
      <c r="I514" s="179"/>
    </row>
    <row r="515" spans="3:9" x14ac:dyDescent="0.25">
      <c r="C515" s="177"/>
      <c r="D515" s="178"/>
      <c r="E515" s="179"/>
      <c r="F515" s="178"/>
      <c r="G515" s="179"/>
      <c r="H515" s="179"/>
      <c r="I515" s="179"/>
    </row>
    <row r="516" spans="3:9" x14ac:dyDescent="0.25">
      <c r="C516" s="177"/>
      <c r="D516" s="178"/>
      <c r="E516" s="179"/>
      <c r="F516" s="178"/>
      <c r="G516" s="179"/>
      <c r="H516" s="179"/>
      <c r="I516" s="179"/>
    </row>
    <row r="517" spans="3:9" x14ac:dyDescent="0.25">
      <c r="C517" s="177"/>
      <c r="D517" s="178"/>
      <c r="E517" s="179"/>
      <c r="F517" s="178"/>
      <c r="G517" s="179"/>
      <c r="H517" s="179"/>
      <c r="I517" s="179"/>
    </row>
    <row r="518" spans="3:9" x14ac:dyDescent="0.25">
      <c r="C518" s="177"/>
      <c r="D518" s="178"/>
      <c r="E518" s="179"/>
      <c r="F518" s="178"/>
      <c r="G518" s="179"/>
      <c r="H518" s="179"/>
      <c r="I518" s="179"/>
    </row>
    <row r="519" spans="3:9" x14ac:dyDescent="0.25">
      <c r="C519" s="177"/>
      <c r="D519" s="178"/>
      <c r="E519" s="179"/>
      <c r="F519" s="178"/>
      <c r="G519" s="179"/>
      <c r="H519" s="179"/>
      <c r="I519" s="179"/>
    </row>
    <row r="520" spans="3:9" x14ac:dyDescent="0.25">
      <c r="C520" s="177"/>
      <c r="D520" s="178"/>
      <c r="E520" s="179"/>
      <c r="F520" s="178"/>
      <c r="G520" s="179"/>
      <c r="H520" s="179"/>
      <c r="I520" s="179"/>
    </row>
    <row r="521" spans="3:9" x14ac:dyDescent="0.25">
      <c r="C521" s="177"/>
      <c r="D521" s="178"/>
      <c r="E521" s="179"/>
      <c r="F521" s="178"/>
      <c r="G521" s="179"/>
      <c r="H521" s="179"/>
      <c r="I521" s="179"/>
    </row>
    <row r="522" spans="3:9" x14ac:dyDescent="0.25">
      <c r="C522" s="177"/>
      <c r="D522" s="178"/>
      <c r="E522" s="179"/>
      <c r="F522" s="178"/>
      <c r="G522" s="179"/>
      <c r="H522" s="179"/>
      <c r="I522" s="179"/>
    </row>
    <row r="523" spans="3:9" x14ac:dyDescent="0.25">
      <c r="C523" s="177"/>
      <c r="D523" s="178"/>
      <c r="E523" s="179"/>
      <c r="F523" s="178"/>
      <c r="G523" s="179"/>
      <c r="H523" s="179"/>
      <c r="I523" s="179"/>
    </row>
    <row r="524" spans="3:9" x14ac:dyDescent="0.25">
      <c r="C524" s="177"/>
      <c r="D524" s="178"/>
      <c r="E524" s="179"/>
      <c r="F524" s="178"/>
      <c r="G524" s="179"/>
      <c r="H524" s="179"/>
      <c r="I524" s="179"/>
    </row>
    <row r="525" spans="3:9" x14ac:dyDescent="0.25">
      <c r="C525" s="177"/>
      <c r="D525" s="178"/>
      <c r="E525" s="179"/>
      <c r="F525" s="178"/>
      <c r="G525" s="179"/>
      <c r="H525" s="179"/>
      <c r="I525" s="179"/>
    </row>
    <row r="526" spans="3:9" x14ac:dyDescent="0.25">
      <c r="C526" s="177"/>
      <c r="D526" s="178"/>
      <c r="E526" s="179"/>
      <c r="F526" s="178"/>
      <c r="G526" s="179"/>
      <c r="H526" s="179"/>
      <c r="I526" s="179"/>
    </row>
    <row r="527" spans="3:9" x14ac:dyDescent="0.25">
      <c r="C527" s="177"/>
      <c r="D527" s="178"/>
      <c r="E527" s="179"/>
      <c r="F527" s="178"/>
      <c r="G527" s="179"/>
      <c r="H527" s="179"/>
      <c r="I527" s="179"/>
    </row>
    <row r="528" spans="3:9" x14ac:dyDescent="0.25">
      <c r="C528" s="177"/>
      <c r="D528" s="178"/>
      <c r="E528" s="179"/>
      <c r="F528" s="178"/>
      <c r="G528" s="179"/>
      <c r="H528" s="179"/>
      <c r="I528" s="179"/>
    </row>
    <row r="529" spans="3:9" x14ac:dyDescent="0.25">
      <c r="C529" s="177"/>
      <c r="D529" s="178"/>
      <c r="E529" s="179"/>
      <c r="F529" s="178"/>
      <c r="G529" s="179"/>
      <c r="H529" s="179"/>
      <c r="I529" s="179"/>
    </row>
    <row r="530" spans="3:9" x14ac:dyDescent="0.25">
      <c r="C530" s="177"/>
      <c r="D530" s="178"/>
      <c r="E530" s="179"/>
      <c r="F530" s="178"/>
      <c r="G530" s="179"/>
      <c r="H530" s="179"/>
      <c r="I530" s="179"/>
    </row>
    <row r="531" spans="3:9" x14ac:dyDescent="0.25">
      <c r="C531" s="177"/>
      <c r="D531" s="178"/>
      <c r="E531" s="179"/>
      <c r="F531" s="178"/>
      <c r="G531" s="179"/>
      <c r="H531" s="179"/>
      <c r="I531" s="179"/>
    </row>
    <row r="532" spans="3:9" x14ac:dyDescent="0.25">
      <c r="C532" s="177"/>
      <c r="D532" s="178"/>
      <c r="E532" s="179"/>
      <c r="F532" s="178"/>
      <c r="G532" s="179"/>
      <c r="H532" s="179"/>
      <c r="I532" s="179"/>
    </row>
    <row r="533" spans="3:9" x14ac:dyDescent="0.25">
      <c r="C533" s="177"/>
      <c r="D533" s="178"/>
      <c r="E533" s="179"/>
      <c r="F533" s="178"/>
      <c r="G533" s="179"/>
      <c r="H533" s="179"/>
      <c r="I533" s="179"/>
    </row>
    <row r="534" spans="3:9" x14ac:dyDescent="0.25">
      <c r="C534" s="177"/>
      <c r="D534" s="178"/>
      <c r="E534" s="179"/>
      <c r="F534" s="178"/>
      <c r="G534" s="179"/>
      <c r="H534" s="179"/>
      <c r="I534" s="179"/>
    </row>
    <row r="535" spans="3:9" x14ac:dyDescent="0.25">
      <c r="C535" s="177"/>
      <c r="D535" s="178"/>
      <c r="E535" s="179"/>
      <c r="F535" s="178"/>
      <c r="G535" s="179"/>
      <c r="H535" s="179"/>
      <c r="I535" s="179"/>
    </row>
    <row r="536" spans="3:9" x14ac:dyDescent="0.25">
      <c r="C536" s="177"/>
      <c r="D536" s="178"/>
      <c r="E536" s="179"/>
      <c r="F536" s="178"/>
      <c r="G536" s="179"/>
      <c r="H536" s="179"/>
      <c r="I536" s="179"/>
    </row>
    <row r="537" spans="3:9" x14ac:dyDescent="0.25">
      <c r="C537" s="177"/>
      <c r="D537" s="178"/>
      <c r="E537" s="179"/>
      <c r="F537" s="178"/>
      <c r="G537" s="179"/>
      <c r="H537" s="179"/>
      <c r="I537" s="179"/>
    </row>
    <row r="538" spans="3:9" x14ac:dyDescent="0.25">
      <c r="C538" s="177"/>
      <c r="D538" s="178"/>
      <c r="E538" s="179"/>
      <c r="F538" s="178"/>
      <c r="G538" s="179"/>
      <c r="H538" s="179"/>
      <c r="I538" s="179"/>
    </row>
    <row r="539" spans="3:9" x14ac:dyDescent="0.25">
      <c r="C539" s="177"/>
      <c r="D539" s="178"/>
      <c r="E539" s="179"/>
      <c r="F539" s="178"/>
      <c r="G539" s="179"/>
      <c r="H539" s="179"/>
      <c r="I539" s="179"/>
    </row>
    <row r="540" spans="3:9" x14ac:dyDescent="0.25">
      <c r="C540" s="177"/>
      <c r="D540" s="178"/>
      <c r="E540" s="179"/>
      <c r="F540" s="178"/>
      <c r="G540" s="179"/>
      <c r="H540" s="179"/>
      <c r="I540" s="179"/>
    </row>
    <row r="541" spans="3:9" x14ac:dyDescent="0.25">
      <c r="C541" s="177"/>
      <c r="D541" s="178"/>
      <c r="E541" s="179"/>
      <c r="F541" s="178"/>
      <c r="G541" s="179"/>
      <c r="H541" s="179"/>
      <c r="I541" s="179"/>
    </row>
    <row r="542" spans="3:9" x14ac:dyDescent="0.25">
      <c r="C542" s="177"/>
      <c r="D542" s="178"/>
      <c r="E542" s="179"/>
      <c r="F542" s="178"/>
      <c r="G542" s="179"/>
      <c r="H542" s="179"/>
      <c r="I542" s="179"/>
    </row>
    <row r="543" spans="3:9" x14ac:dyDescent="0.25">
      <c r="C543" s="177"/>
      <c r="D543" s="178"/>
      <c r="E543" s="179"/>
      <c r="F543" s="178"/>
      <c r="G543" s="179"/>
      <c r="H543" s="179"/>
      <c r="I543" s="179"/>
    </row>
    <row r="544" spans="3:9" x14ac:dyDescent="0.25">
      <c r="C544" s="177"/>
      <c r="D544" s="178"/>
      <c r="E544" s="179"/>
      <c r="F544" s="178"/>
      <c r="G544" s="179"/>
      <c r="H544" s="179"/>
      <c r="I544" s="179"/>
    </row>
    <row r="545" spans="3:9" x14ac:dyDescent="0.25">
      <c r="C545" s="177"/>
      <c r="D545" s="178"/>
      <c r="E545" s="179"/>
      <c r="F545" s="178"/>
      <c r="G545" s="179"/>
      <c r="H545" s="179"/>
      <c r="I545" s="179"/>
    </row>
    <row r="546" spans="3:9" x14ac:dyDescent="0.25">
      <c r="C546" s="177"/>
      <c r="D546" s="178"/>
      <c r="E546" s="179"/>
      <c r="F546" s="178"/>
      <c r="G546" s="179"/>
      <c r="H546" s="179"/>
      <c r="I546" s="179"/>
    </row>
    <row r="547" spans="3:9" x14ac:dyDescent="0.25">
      <c r="C547" s="177"/>
      <c r="D547" s="178"/>
      <c r="E547" s="179"/>
      <c r="F547" s="178"/>
      <c r="G547" s="179"/>
      <c r="H547" s="179"/>
      <c r="I547" s="179"/>
    </row>
    <row r="548" spans="3:9" x14ac:dyDescent="0.25">
      <c r="C548" s="177"/>
      <c r="D548" s="178"/>
      <c r="E548" s="179"/>
      <c r="F548" s="178"/>
      <c r="G548" s="179"/>
      <c r="H548" s="179"/>
      <c r="I548" s="179"/>
    </row>
    <row r="549" spans="3:9" x14ac:dyDescent="0.25">
      <c r="C549" s="177"/>
      <c r="D549" s="178"/>
      <c r="E549" s="179"/>
      <c r="F549" s="178"/>
      <c r="G549" s="179"/>
      <c r="H549" s="179"/>
      <c r="I549" s="179"/>
    </row>
    <row r="550" spans="3:9" x14ac:dyDescent="0.25">
      <c r="C550" s="177"/>
      <c r="D550" s="178"/>
      <c r="E550" s="179"/>
      <c r="F550" s="178"/>
      <c r="G550" s="179"/>
      <c r="H550" s="179"/>
      <c r="I550" s="179"/>
    </row>
    <row r="551" spans="3:9" x14ac:dyDescent="0.25">
      <c r="C551" s="177"/>
      <c r="D551" s="178"/>
      <c r="E551" s="179"/>
      <c r="F551" s="178"/>
      <c r="G551" s="179"/>
      <c r="H551" s="179"/>
      <c r="I551" s="179"/>
    </row>
    <row r="552" spans="3:9" x14ac:dyDescent="0.25">
      <c r="C552" s="177"/>
      <c r="D552" s="178"/>
      <c r="E552" s="179"/>
      <c r="F552" s="178"/>
      <c r="G552" s="179"/>
      <c r="H552" s="179"/>
      <c r="I552" s="179"/>
    </row>
    <row r="553" spans="3:9" x14ac:dyDescent="0.25">
      <c r="C553" s="177"/>
      <c r="D553" s="178"/>
      <c r="E553" s="179"/>
      <c r="F553" s="178"/>
      <c r="G553" s="179"/>
      <c r="H553" s="179"/>
      <c r="I553" s="179"/>
    </row>
    <row r="554" spans="3:9" x14ac:dyDescent="0.25">
      <c r="C554" s="177"/>
      <c r="D554" s="178"/>
      <c r="E554" s="179"/>
      <c r="F554" s="178"/>
      <c r="G554" s="179"/>
      <c r="H554" s="179"/>
      <c r="I554" s="179"/>
    </row>
    <row r="555" spans="3:9" x14ac:dyDescent="0.25">
      <c r="C555" s="177"/>
      <c r="D555" s="178"/>
      <c r="E555" s="179"/>
      <c r="F555" s="178"/>
      <c r="G555" s="179"/>
      <c r="H555" s="179"/>
      <c r="I555" s="179"/>
    </row>
    <row r="556" spans="3:9" x14ac:dyDescent="0.25">
      <c r="C556" s="177"/>
      <c r="D556" s="178"/>
      <c r="E556" s="179"/>
      <c r="F556" s="178"/>
      <c r="G556" s="179"/>
      <c r="H556" s="179"/>
      <c r="I556" s="179"/>
    </row>
    <row r="557" spans="3:9" x14ac:dyDescent="0.25">
      <c r="C557" s="177"/>
      <c r="D557" s="178"/>
      <c r="E557" s="179"/>
      <c r="F557" s="178"/>
      <c r="G557" s="179"/>
      <c r="H557" s="179"/>
      <c r="I557" s="179"/>
    </row>
    <row r="558" spans="3:9" x14ac:dyDescent="0.25">
      <c r="C558" s="177"/>
      <c r="D558" s="178"/>
      <c r="E558" s="179"/>
      <c r="F558" s="178"/>
      <c r="G558" s="179"/>
      <c r="H558" s="179"/>
      <c r="I558" s="179"/>
    </row>
    <row r="559" spans="3:9" x14ac:dyDescent="0.25">
      <c r="C559" s="177"/>
      <c r="D559" s="178"/>
      <c r="E559" s="179"/>
      <c r="F559" s="178"/>
      <c r="G559" s="179"/>
      <c r="H559" s="179"/>
      <c r="I559" s="179"/>
    </row>
    <row r="560" spans="3:9" x14ac:dyDescent="0.25">
      <c r="C560" s="177"/>
      <c r="D560" s="178"/>
      <c r="E560" s="179"/>
      <c r="F560" s="178"/>
      <c r="G560" s="179"/>
      <c r="H560" s="179"/>
      <c r="I560" s="179"/>
    </row>
    <row r="561" spans="3:9" x14ac:dyDescent="0.25">
      <c r="C561" s="177"/>
      <c r="D561" s="178"/>
      <c r="E561" s="179"/>
      <c r="F561" s="178"/>
      <c r="G561" s="179"/>
      <c r="H561" s="179"/>
      <c r="I561" s="179"/>
    </row>
    <row r="562" spans="3:9" x14ac:dyDescent="0.25">
      <c r="C562" s="177"/>
      <c r="D562" s="178"/>
      <c r="E562" s="179"/>
      <c r="F562" s="178"/>
      <c r="G562" s="179"/>
      <c r="H562" s="179"/>
      <c r="I562" s="179"/>
    </row>
    <row r="563" spans="3:9" x14ac:dyDescent="0.25">
      <c r="C563" s="177"/>
      <c r="D563" s="178"/>
      <c r="E563" s="179"/>
      <c r="F563" s="178"/>
      <c r="G563" s="179"/>
      <c r="H563" s="179"/>
      <c r="I563" s="179"/>
    </row>
    <row r="564" spans="3:9" x14ac:dyDescent="0.25">
      <c r="C564" s="177"/>
      <c r="D564" s="178"/>
      <c r="E564" s="179"/>
      <c r="F564" s="178"/>
      <c r="G564" s="179"/>
      <c r="H564" s="179"/>
      <c r="I564" s="179"/>
    </row>
    <row r="565" spans="3:9" x14ac:dyDescent="0.25">
      <c r="C565" s="177"/>
      <c r="D565" s="178"/>
      <c r="E565" s="179"/>
      <c r="F565" s="178"/>
      <c r="G565" s="179"/>
      <c r="H565" s="179"/>
      <c r="I565" s="179"/>
    </row>
    <row r="566" spans="3:9" x14ac:dyDescent="0.25">
      <c r="C566" s="177"/>
      <c r="D566" s="178"/>
      <c r="E566" s="179"/>
      <c r="F566" s="178"/>
      <c r="G566" s="179"/>
      <c r="H566" s="179"/>
      <c r="I566" s="179"/>
    </row>
    <row r="567" spans="3:9" x14ac:dyDescent="0.25">
      <c r="C567" s="177"/>
      <c r="D567" s="178"/>
      <c r="E567" s="179"/>
      <c r="F567" s="178"/>
      <c r="G567" s="179"/>
      <c r="H567" s="179"/>
      <c r="I567" s="179"/>
    </row>
    <row r="568" spans="3:9" x14ac:dyDescent="0.25">
      <c r="C568" s="177"/>
      <c r="D568" s="178"/>
      <c r="E568" s="179"/>
      <c r="F568" s="178"/>
      <c r="G568" s="179"/>
      <c r="H568" s="179"/>
      <c r="I568" s="179"/>
    </row>
    <row r="569" spans="3:9" x14ac:dyDescent="0.25">
      <c r="C569" s="177"/>
      <c r="D569" s="178"/>
      <c r="E569" s="179"/>
      <c r="F569" s="178"/>
      <c r="G569" s="179"/>
      <c r="H569" s="179"/>
      <c r="I569" s="179"/>
    </row>
    <row r="570" spans="3:9" x14ac:dyDescent="0.25">
      <c r="C570" s="177"/>
      <c r="D570" s="178"/>
      <c r="E570" s="179"/>
      <c r="F570" s="178"/>
      <c r="G570" s="179"/>
      <c r="H570" s="179"/>
      <c r="I570" s="179"/>
    </row>
    <row r="571" spans="3:9" x14ac:dyDescent="0.25">
      <c r="C571" s="177"/>
      <c r="D571" s="178"/>
      <c r="E571" s="179"/>
      <c r="F571" s="178"/>
      <c r="G571" s="179"/>
      <c r="H571" s="179"/>
      <c r="I571" s="179"/>
    </row>
    <row r="572" spans="3:9" x14ac:dyDescent="0.25">
      <c r="C572" s="177"/>
      <c r="D572" s="178"/>
      <c r="E572" s="179"/>
      <c r="F572" s="178"/>
      <c r="G572" s="179"/>
      <c r="H572" s="179"/>
      <c r="I572" s="179"/>
    </row>
    <row r="573" spans="3:9" x14ac:dyDescent="0.25">
      <c r="C573" s="177"/>
      <c r="D573" s="178"/>
      <c r="E573" s="179"/>
      <c r="F573" s="178"/>
      <c r="G573" s="179"/>
      <c r="H573" s="179"/>
      <c r="I573" s="179"/>
    </row>
    <row r="574" spans="3:9" x14ac:dyDescent="0.25">
      <c r="C574" s="177"/>
      <c r="D574" s="178"/>
      <c r="E574" s="179"/>
      <c r="F574" s="178"/>
      <c r="G574" s="179"/>
      <c r="H574" s="179"/>
      <c r="I574" s="179"/>
    </row>
    <row r="575" spans="3:9" x14ac:dyDescent="0.25">
      <c r="C575" s="177"/>
      <c r="D575" s="178"/>
      <c r="E575" s="179"/>
      <c r="F575" s="178"/>
      <c r="G575" s="179"/>
      <c r="H575" s="179"/>
      <c r="I575" s="179"/>
    </row>
    <row r="576" spans="3:9" x14ac:dyDescent="0.25">
      <c r="C576" s="177"/>
      <c r="D576" s="178"/>
      <c r="E576" s="179"/>
      <c r="F576" s="178"/>
      <c r="G576" s="179"/>
      <c r="H576" s="179"/>
      <c r="I576" s="179"/>
    </row>
    <row r="577" spans="3:9" x14ac:dyDescent="0.25">
      <c r="C577" s="177"/>
      <c r="D577" s="178"/>
      <c r="E577" s="179"/>
      <c r="F577" s="178"/>
      <c r="G577" s="179"/>
      <c r="H577" s="179"/>
      <c r="I577" s="179"/>
    </row>
    <row r="578" spans="3:9" x14ac:dyDescent="0.25">
      <c r="C578" s="177"/>
      <c r="D578" s="178"/>
      <c r="E578" s="179"/>
      <c r="F578" s="178"/>
      <c r="G578" s="179"/>
      <c r="H578" s="179"/>
      <c r="I578" s="179"/>
    </row>
    <row r="579" spans="3:9" x14ac:dyDescent="0.25">
      <c r="C579" s="177"/>
      <c r="D579" s="178"/>
      <c r="E579" s="179"/>
      <c r="F579" s="178"/>
      <c r="G579" s="179"/>
      <c r="H579" s="179"/>
      <c r="I579" s="179"/>
    </row>
    <row r="580" spans="3:9" x14ac:dyDescent="0.25">
      <c r="C580" s="177"/>
      <c r="D580" s="178"/>
      <c r="E580" s="179"/>
      <c r="F580" s="178"/>
      <c r="G580" s="179"/>
      <c r="H580" s="179"/>
      <c r="I580" s="179"/>
    </row>
    <row r="581" spans="3:9" x14ac:dyDescent="0.25">
      <c r="C581" s="177"/>
      <c r="D581" s="178"/>
      <c r="E581" s="179"/>
      <c r="F581" s="178"/>
      <c r="G581" s="179"/>
      <c r="H581" s="179"/>
      <c r="I581" s="179"/>
    </row>
    <row r="582" spans="3:9" x14ac:dyDescent="0.25">
      <c r="C582" s="177"/>
      <c r="D582" s="178"/>
      <c r="E582" s="179"/>
      <c r="F582" s="178"/>
      <c r="G582" s="179"/>
      <c r="H582" s="179"/>
      <c r="I582" s="179"/>
    </row>
    <row r="583" spans="3:9" x14ac:dyDescent="0.25">
      <c r="C583" s="177"/>
      <c r="D583" s="178"/>
      <c r="E583" s="179"/>
      <c r="F583" s="178"/>
      <c r="G583" s="179"/>
      <c r="H583" s="179"/>
      <c r="I583" s="179"/>
    </row>
    <row r="584" spans="3:9" x14ac:dyDescent="0.25">
      <c r="C584" s="177"/>
      <c r="D584" s="178"/>
      <c r="E584" s="179"/>
      <c r="F584" s="178"/>
      <c r="G584" s="179"/>
      <c r="H584" s="179"/>
      <c r="I584" s="179"/>
    </row>
    <row r="585" spans="3:9" x14ac:dyDescent="0.25">
      <c r="C585" s="177"/>
      <c r="D585" s="178"/>
      <c r="E585" s="179"/>
      <c r="F585" s="178"/>
      <c r="G585" s="179"/>
      <c r="H585" s="179"/>
      <c r="I585" s="179"/>
    </row>
    <row r="586" spans="3:9" x14ac:dyDescent="0.25">
      <c r="C586" s="177"/>
      <c r="D586" s="178"/>
      <c r="E586" s="179"/>
      <c r="F586" s="178"/>
      <c r="G586" s="179"/>
      <c r="H586" s="179"/>
      <c r="I586" s="179"/>
    </row>
    <row r="587" spans="3:9" x14ac:dyDescent="0.25">
      <c r="C587" s="177"/>
      <c r="D587" s="178"/>
      <c r="E587" s="179"/>
      <c r="F587" s="178"/>
      <c r="G587" s="179"/>
      <c r="H587" s="179"/>
      <c r="I587" s="179"/>
    </row>
    <row r="588" spans="3:9" x14ac:dyDescent="0.25">
      <c r="C588" s="177"/>
      <c r="D588" s="178"/>
      <c r="E588" s="179"/>
      <c r="F588" s="178"/>
      <c r="G588" s="179"/>
      <c r="H588" s="179"/>
      <c r="I588" s="179"/>
    </row>
    <row r="589" spans="3:9" x14ac:dyDescent="0.25">
      <c r="C589" s="177"/>
      <c r="D589" s="178"/>
      <c r="E589" s="179"/>
      <c r="F589" s="178"/>
      <c r="G589" s="179"/>
      <c r="H589" s="179"/>
      <c r="I589" s="179"/>
    </row>
    <row r="590" spans="3:9" x14ac:dyDescent="0.25">
      <c r="C590" s="177"/>
      <c r="D590" s="178"/>
      <c r="E590" s="179"/>
      <c r="F590" s="178"/>
      <c r="G590" s="179"/>
      <c r="H590" s="179"/>
      <c r="I590" s="179"/>
    </row>
    <row r="591" spans="3:9" x14ac:dyDescent="0.25">
      <c r="C591" s="177"/>
      <c r="D591" s="178"/>
      <c r="E591" s="179"/>
      <c r="F591" s="178"/>
      <c r="G591" s="179"/>
      <c r="H591" s="179"/>
      <c r="I591" s="179"/>
    </row>
    <row r="592" spans="3:9" x14ac:dyDescent="0.25">
      <c r="C592" s="177"/>
      <c r="D592" s="178"/>
      <c r="E592" s="179"/>
      <c r="F592" s="178"/>
      <c r="G592" s="179"/>
      <c r="H592" s="179"/>
      <c r="I592" s="179"/>
    </row>
    <row r="593" spans="3:9" x14ac:dyDescent="0.25">
      <c r="C593" s="177"/>
      <c r="D593" s="178"/>
      <c r="E593" s="179"/>
      <c r="F593" s="178"/>
      <c r="G593" s="179"/>
      <c r="H593" s="179"/>
      <c r="I593" s="179"/>
    </row>
    <row r="594" spans="3:9" x14ac:dyDescent="0.25">
      <c r="C594" s="177"/>
      <c r="D594" s="178"/>
      <c r="E594" s="179"/>
      <c r="F594" s="178"/>
      <c r="G594" s="179"/>
      <c r="H594" s="179"/>
      <c r="I594" s="179"/>
    </row>
    <row r="595" spans="3:9" x14ac:dyDescent="0.25">
      <c r="C595" s="177"/>
      <c r="D595" s="178"/>
      <c r="E595" s="179"/>
      <c r="F595" s="178"/>
      <c r="G595" s="179"/>
      <c r="H595" s="179"/>
      <c r="I595" s="179"/>
    </row>
    <row r="596" spans="3:9" x14ac:dyDescent="0.25">
      <c r="C596" s="177"/>
      <c r="D596" s="178"/>
      <c r="E596" s="179"/>
      <c r="F596" s="178"/>
      <c r="G596" s="179"/>
      <c r="H596" s="179"/>
      <c r="I596" s="179"/>
    </row>
    <row r="597" spans="3:9" x14ac:dyDescent="0.25">
      <c r="C597" s="177"/>
      <c r="D597" s="178"/>
      <c r="E597" s="179"/>
      <c r="F597" s="178"/>
      <c r="G597" s="179"/>
      <c r="H597" s="179"/>
      <c r="I597" s="179"/>
    </row>
    <row r="598" spans="3:9" x14ac:dyDescent="0.25">
      <c r="C598" s="177"/>
      <c r="D598" s="178"/>
      <c r="E598" s="179"/>
      <c r="F598" s="178"/>
      <c r="G598" s="179"/>
      <c r="H598" s="179"/>
      <c r="I598" s="179"/>
    </row>
    <row r="599" spans="3:9" x14ac:dyDescent="0.25">
      <c r="C599" s="177"/>
      <c r="D599" s="178"/>
      <c r="E599" s="179"/>
      <c r="F599" s="178"/>
      <c r="G599" s="179"/>
      <c r="H599" s="179"/>
      <c r="I599" s="179"/>
    </row>
    <row r="600" spans="3:9" x14ac:dyDescent="0.25">
      <c r="C600" s="177"/>
      <c r="D600" s="178"/>
      <c r="E600" s="179"/>
      <c r="F600" s="178"/>
      <c r="G600" s="179"/>
      <c r="H600" s="179"/>
      <c r="I600" s="179"/>
    </row>
    <row r="601" spans="3:9" x14ac:dyDescent="0.25">
      <c r="C601" s="177"/>
      <c r="D601" s="178"/>
      <c r="E601" s="179"/>
      <c r="F601" s="178"/>
      <c r="G601" s="179"/>
      <c r="H601" s="179"/>
      <c r="I601" s="179"/>
    </row>
    <row r="602" spans="3:9" x14ac:dyDescent="0.25">
      <c r="C602" s="177"/>
      <c r="D602" s="178"/>
      <c r="E602" s="179"/>
      <c r="F602" s="178"/>
      <c r="G602" s="179"/>
      <c r="H602" s="179"/>
      <c r="I602" s="179"/>
    </row>
    <row r="603" spans="3:9" x14ac:dyDescent="0.25">
      <c r="C603" s="177"/>
      <c r="D603" s="178"/>
      <c r="E603" s="179"/>
      <c r="F603" s="178"/>
      <c r="G603" s="179"/>
      <c r="H603" s="179"/>
      <c r="I603" s="179"/>
    </row>
    <row r="604" spans="3:9" x14ac:dyDescent="0.25">
      <c r="C604" s="177"/>
      <c r="D604" s="178"/>
      <c r="E604" s="179"/>
      <c r="F604" s="178"/>
      <c r="G604" s="179"/>
      <c r="H604" s="179"/>
      <c r="I604" s="179"/>
    </row>
    <row r="605" spans="3:9" x14ac:dyDescent="0.25">
      <c r="C605" s="177"/>
      <c r="D605" s="178"/>
      <c r="E605" s="179"/>
      <c r="F605" s="178"/>
      <c r="G605" s="179"/>
      <c r="H605" s="179"/>
      <c r="I605" s="179"/>
    </row>
    <row r="606" spans="3:9" x14ac:dyDescent="0.25">
      <c r="C606" s="177"/>
      <c r="D606" s="178"/>
      <c r="E606" s="179"/>
      <c r="F606" s="178"/>
      <c r="G606" s="179"/>
      <c r="H606" s="179"/>
      <c r="I606" s="179"/>
    </row>
    <row r="607" spans="3:9" x14ac:dyDescent="0.25">
      <c r="C607" s="177"/>
      <c r="D607" s="178"/>
      <c r="E607" s="179"/>
      <c r="F607" s="178"/>
      <c r="G607" s="179"/>
      <c r="H607" s="179"/>
      <c r="I607" s="179"/>
    </row>
    <row r="608" spans="3:9" x14ac:dyDescent="0.25">
      <c r="C608" s="177"/>
      <c r="D608" s="178"/>
      <c r="E608" s="179"/>
      <c r="F608" s="178"/>
      <c r="G608" s="179"/>
      <c r="H608" s="179"/>
      <c r="I608" s="179"/>
    </row>
    <row r="609" spans="3:9" x14ac:dyDescent="0.25">
      <c r="C609" s="177"/>
      <c r="D609" s="178"/>
      <c r="E609" s="179"/>
      <c r="F609" s="178"/>
      <c r="G609" s="179"/>
      <c r="H609" s="179"/>
      <c r="I609" s="179"/>
    </row>
    <row r="610" spans="3:9" x14ac:dyDescent="0.25">
      <c r="C610" s="177"/>
      <c r="D610" s="178"/>
      <c r="E610" s="179"/>
      <c r="F610" s="178"/>
      <c r="G610" s="179"/>
      <c r="H610" s="179"/>
      <c r="I610" s="179"/>
    </row>
    <row r="611" spans="3:9" x14ac:dyDescent="0.25">
      <c r="C611" s="177"/>
      <c r="D611" s="178"/>
      <c r="E611" s="179"/>
      <c r="F611" s="178"/>
      <c r="G611" s="179"/>
      <c r="H611" s="179"/>
      <c r="I611" s="179"/>
    </row>
    <row r="612" spans="3:9" x14ac:dyDescent="0.25">
      <c r="C612" s="177"/>
      <c r="D612" s="178"/>
      <c r="E612" s="179"/>
      <c r="F612" s="178"/>
      <c r="G612" s="179"/>
      <c r="H612" s="179"/>
      <c r="I612" s="179"/>
    </row>
    <row r="613" spans="3:9" x14ac:dyDescent="0.25">
      <c r="C613" s="177"/>
      <c r="D613" s="178"/>
      <c r="E613" s="179"/>
      <c r="F613" s="178"/>
      <c r="G613" s="179"/>
      <c r="H613" s="179"/>
      <c r="I613" s="179"/>
    </row>
    <row r="614" spans="3:9" x14ac:dyDescent="0.25">
      <c r="C614" s="177"/>
      <c r="D614" s="178"/>
      <c r="E614" s="179"/>
      <c r="F614" s="178"/>
      <c r="G614" s="179"/>
      <c r="H614" s="179"/>
      <c r="I614" s="179"/>
    </row>
    <row r="615" spans="3:9" x14ac:dyDescent="0.25">
      <c r="C615" s="177"/>
      <c r="D615" s="178"/>
      <c r="E615" s="179"/>
      <c r="F615" s="178"/>
      <c r="G615" s="179"/>
      <c r="H615" s="179"/>
      <c r="I615" s="179"/>
    </row>
    <row r="616" spans="3:9" x14ac:dyDescent="0.25">
      <c r="C616" s="177"/>
      <c r="D616" s="177"/>
      <c r="E616" s="177"/>
      <c r="F616" s="177"/>
      <c r="G616" s="177"/>
      <c r="H616" s="177"/>
      <c r="I616" s="177"/>
    </row>
    <row r="617" spans="3:9" x14ac:dyDescent="0.25">
      <c r="C617" s="177"/>
      <c r="D617" s="177"/>
      <c r="E617" s="177"/>
      <c r="F617" s="177"/>
      <c r="G617" s="177"/>
      <c r="H617" s="177"/>
      <c r="I617" s="177"/>
    </row>
    <row r="618" spans="3:9" x14ac:dyDescent="0.25">
      <c r="C618" s="177"/>
      <c r="D618" s="177"/>
      <c r="E618" s="177"/>
      <c r="F618" s="177"/>
      <c r="G618" s="177"/>
      <c r="H618" s="177"/>
      <c r="I618" s="177"/>
    </row>
    <row r="619" spans="3:9" x14ac:dyDescent="0.25">
      <c r="C619" s="177"/>
      <c r="D619" s="177"/>
      <c r="E619" s="177"/>
      <c r="F619" s="177"/>
      <c r="G619" s="177"/>
      <c r="H619" s="177"/>
      <c r="I619" s="177"/>
    </row>
    <row r="620" spans="3:9" x14ac:dyDescent="0.25">
      <c r="C620" s="177"/>
      <c r="D620" s="177"/>
      <c r="E620" s="177"/>
      <c r="F620" s="177"/>
      <c r="G620" s="177"/>
      <c r="H620" s="177"/>
      <c r="I620" s="177"/>
    </row>
    <row r="621" spans="3:9" x14ac:dyDescent="0.25">
      <c r="C621" s="177"/>
      <c r="D621" s="177"/>
      <c r="E621" s="177"/>
      <c r="F621" s="177"/>
      <c r="G621" s="177"/>
      <c r="H621" s="177"/>
      <c r="I621" s="177"/>
    </row>
    <row r="622" spans="3:9" x14ac:dyDescent="0.25">
      <c r="C622" s="177"/>
      <c r="D622" s="177"/>
      <c r="E622" s="177"/>
      <c r="F622" s="177"/>
      <c r="G622" s="177"/>
      <c r="H622" s="177"/>
      <c r="I622" s="177"/>
    </row>
    <row r="623" spans="3:9" x14ac:dyDescent="0.25">
      <c r="C623" s="177"/>
      <c r="D623" s="177"/>
      <c r="E623" s="177"/>
      <c r="F623" s="177"/>
      <c r="G623" s="177"/>
      <c r="H623" s="177"/>
      <c r="I623" s="177"/>
    </row>
    <row r="624" spans="3:9" x14ac:dyDescent="0.25">
      <c r="C624" s="177"/>
      <c r="D624" s="177"/>
      <c r="E624" s="177"/>
      <c r="F624" s="177"/>
      <c r="G624" s="177"/>
      <c r="H624" s="177"/>
      <c r="I624" s="177"/>
    </row>
    <row r="625" spans="3:9" x14ac:dyDescent="0.25">
      <c r="C625" s="177"/>
      <c r="D625" s="177"/>
      <c r="E625" s="177"/>
      <c r="F625" s="177"/>
      <c r="G625" s="177"/>
      <c r="H625" s="177"/>
      <c r="I625" s="177"/>
    </row>
    <row r="626" spans="3:9" x14ac:dyDescent="0.25">
      <c r="C626" s="177"/>
      <c r="D626" s="177"/>
      <c r="E626" s="177"/>
      <c r="F626" s="177"/>
      <c r="G626" s="177"/>
      <c r="H626" s="177"/>
      <c r="I626" s="177"/>
    </row>
    <row r="627" spans="3:9" x14ac:dyDescent="0.25">
      <c r="C627" s="177"/>
      <c r="D627" s="177"/>
      <c r="E627" s="177"/>
      <c r="F627" s="177"/>
      <c r="G627" s="177"/>
      <c r="H627" s="177"/>
      <c r="I627" s="177"/>
    </row>
    <row r="628" spans="3:9" x14ac:dyDescent="0.25">
      <c r="C628" s="177"/>
      <c r="D628" s="177"/>
      <c r="E628" s="177"/>
      <c r="F628" s="177"/>
      <c r="G628" s="177"/>
      <c r="H628" s="177"/>
      <c r="I628" s="177"/>
    </row>
    <row r="629" spans="3:9" x14ac:dyDescent="0.25">
      <c r="C629" s="177"/>
      <c r="D629" s="177"/>
      <c r="E629" s="177"/>
      <c r="F629" s="177"/>
      <c r="G629" s="177"/>
      <c r="H629" s="177"/>
      <c r="I629" s="177"/>
    </row>
    <row r="630" spans="3:9" x14ac:dyDescent="0.25">
      <c r="C630" s="177"/>
      <c r="D630" s="177"/>
      <c r="E630" s="177"/>
      <c r="F630" s="177"/>
      <c r="G630" s="177"/>
      <c r="H630" s="177"/>
      <c r="I630" s="177"/>
    </row>
    <row r="631" spans="3:9" x14ac:dyDescent="0.25">
      <c r="C631" s="177"/>
      <c r="D631" s="177"/>
      <c r="E631" s="177"/>
      <c r="F631" s="177"/>
      <c r="G631" s="177"/>
      <c r="H631" s="177"/>
      <c r="I631" s="177"/>
    </row>
    <row r="632" spans="3:9" x14ac:dyDescent="0.25">
      <c r="C632" s="177"/>
      <c r="D632" s="177"/>
      <c r="E632" s="177"/>
      <c r="F632" s="177"/>
      <c r="G632" s="177"/>
      <c r="H632" s="177"/>
      <c r="I632" s="177"/>
    </row>
    <row r="633" spans="3:9" x14ac:dyDescent="0.25">
      <c r="C633" s="177"/>
      <c r="D633" s="177"/>
      <c r="E633" s="177"/>
      <c r="F633" s="177"/>
      <c r="G633" s="177"/>
      <c r="H633" s="177"/>
      <c r="I633" s="177"/>
    </row>
    <row r="634" spans="3:9" x14ac:dyDescent="0.25">
      <c r="C634" s="177"/>
      <c r="D634" s="177"/>
      <c r="E634" s="177"/>
      <c r="F634" s="177"/>
      <c r="G634" s="177"/>
      <c r="H634" s="177"/>
      <c r="I634" s="177"/>
    </row>
    <row r="635" spans="3:9" x14ac:dyDescent="0.25">
      <c r="C635" s="177"/>
      <c r="D635" s="177"/>
      <c r="E635" s="177"/>
      <c r="F635" s="177"/>
      <c r="G635" s="177"/>
      <c r="H635" s="177"/>
      <c r="I635" s="177"/>
    </row>
    <row r="636" spans="3:9" x14ac:dyDescent="0.25">
      <c r="C636" s="177"/>
      <c r="D636" s="177"/>
      <c r="E636" s="177"/>
      <c r="F636" s="177"/>
      <c r="G636" s="177"/>
      <c r="H636" s="177"/>
      <c r="I636" s="177"/>
    </row>
    <row r="637" spans="3:9" x14ac:dyDescent="0.25">
      <c r="C637" s="177"/>
      <c r="D637" s="177"/>
      <c r="E637" s="177"/>
      <c r="F637" s="177"/>
      <c r="G637" s="177"/>
      <c r="H637" s="177"/>
      <c r="I637" s="177"/>
    </row>
    <row r="638" spans="3:9" x14ac:dyDescent="0.25">
      <c r="C638" s="177"/>
      <c r="D638" s="177"/>
      <c r="E638" s="177"/>
      <c r="F638" s="177"/>
      <c r="G638" s="177"/>
      <c r="H638" s="177"/>
      <c r="I638" s="177"/>
    </row>
    <row r="639" spans="3:9" x14ac:dyDescent="0.25">
      <c r="C639" s="177"/>
      <c r="D639" s="177"/>
      <c r="E639" s="177"/>
      <c r="F639" s="177"/>
      <c r="G639" s="177"/>
      <c r="H639" s="177"/>
      <c r="I639" s="177"/>
    </row>
    <row r="640" spans="3:9" x14ac:dyDescent="0.25">
      <c r="C640" s="177"/>
      <c r="D640" s="177"/>
      <c r="E640" s="177"/>
      <c r="F640" s="177"/>
      <c r="G640" s="177"/>
      <c r="H640" s="177"/>
      <c r="I640" s="177"/>
    </row>
    <row r="641" spans="3:9" x14ac:dyDescent="0.25">
      <c r="C641" s="177"/>
      <c r="D641" s="177"/>
      <c r="E641" s="177"/>
      <c r="F641" s="177"/>
      <c r="G641" s="177"/>
      <c r="H641" s="177"/>
      <c r="I641" s="177"/>
    </row>
    <row r="642" spans="3:9" x14ac:dyDescent="0.25">
      <c r="C642" s="177"/>
      <c r="D642" s="177"/>
      <c r="E642" s="177"/>
      <c r="F642" s="177"/>
      <c r="G642" s="177"/>
      <c r="H642" s="177"/>
      <c r="I642" s="177"/>
    </row>
    <row r="643" spans="3:9" x14ac:dyDescent="0.25">
      <c r="C643" s="177"/>
      <c r="D643" s="177"/>
      <c r="E643" s="177"/>
      <c r="F643" s="177"/>
      <c r="G643" s="177"/>
      <c r="H643" s="177"/>
      <c r="I643" s="177"/>
    </row>
    <row r="644" spans="3:9" x14ac:dyDescent="0.25">
      <c r="C644" s="177"/>
      <c r="D644" s="177"/>
      <c r="E644" s="177"/>
      <c r="F644" s="177"/>
      <c r="G644" s="177"/>
      <c r="H644" s="177"/>
      <c r="I644" s="177"/>
    </row>
    <row r="645" spans="3:9" x14ac:dyDescent="0.25">
      <c r="C645" s="177"/>
      <c r="D645" s="177"/>
      <c r="E645" s="177"/>
      <c r="F645" s="177"/>
      <c r="G645" s="177"/>
      <c r="H645" s="177"/>
      <c r="I645" s="177"/>
    </row>
    <row r="646" spans="3:9" x14ac:dyDescent="0.25">
      <c r="C646" s="177"/>
      <c r="D646" s="177"/>
      <c r="E646" s="177"/>
      <c r="F646" s="177"/>
      <c r="G646" s="177"/>
      <c r="H646" s="177"/>
      <c r="I646" s="177"/>
    </row>
    <row r="647" spans="3:9" x14ac:dyDescent="0.25">
      <c r="C647" s="177"/>
      <c r="D647" s="177"/>
      <c r="E647" s="177"/>
      <c r="F647" s="177"/>
      <c r="G647" s="177"/>
      <c r="H647" s="177"/>
      <c r="I647" s="177"/>
    </row>
    <row r="648" spans="3:9" x14ac:dyDescent="0.25">
      <c r="C648" s="177"/>
      <c r="D648" s="177"/>
      <c r="E648" s="177"/>
      <c r="F648" s="177"/>
      <c r="G648" s="177"/>
      <c r="H648" s="177"/>
      <c r="I648" s="177"/>
    </row>
    <row r="649" spans="3:9" x14ac:dyDescent="0.25">
      <c r="C649" s="177"/>
      <c r="D649" s="177"/>
      <c r="E649" s="177"/>
      <c r="F649" s="177"/>
      <c r="G649" s="177"/>
      <c r="H649" s="177"/>
      <c r="I649" s="177"/>
    </row>
    <row r="650" spans="3:9" x14ac:dyDescent="0.25">
      <c r="C650" s="177"/>
      <c r="D650" s="177"/>
      <c r="E650" s="177"/>
      <c r="F650" s="177"/>
      <c r="G650" s="177"/>
      <c r="H650" s="177"/>
      <c r="I650" s="177"/>
    </row>
    <row r="651" spans="3:9" x14ac:dyDescent="0.25">
      <c r="C651" s="177"/>
      <c r="D651" s="177"/>
      <c r="E651" s="177"/>
      <c r="F651" s="177"/>
      <c r="G651" s="177"/>
      <c r="H651" s="177"/>
      <c r="I651" s="177"/>
    </row>
    <row r="652" spans="3:9" x14ac:dyDescent="0.25">
      <c r="C652" s="177"/>
      <c r="D652" s="177"/>
      <c r="E652" s="177"/>
      <c r="F652" s="177"/>
      <c r="G652" s="177"/>
      <c r="H652" s="177"/>
      <c r="I652" s="177"/>
    </row>
    <row r="653" spans="3:9" x14ac:dyDescent="0.25">
      <c r="C653" s="177"/>
      <c r="D653" s="177"/>
      <c r="E653" s="177"/>
      <c r="F653" s="177"/>
      <c r="G653" s="177"/>
      <c r="H653" s="177"/>
      <c r="I653" s="177"/>
    </row>
    <row r="654" spans="3:9" x14ac:dyDescent="0.25">
      <c r="C654" s="177"/>
      <c r="D654" s="177"/>
      <c r="E654" s="177"/>
      <c r="F654" s="177"/>
      <c r="G654" s="177"/>
      <c r="H654" s="177"/>
      <c r="I654" s="177"/>
    </row>
    <row r="655" spans="3:9" x14ac:dyDescent="0.25">
      <c r="C655" s="177"/>
      <c r="D655" s="177"/>
      <c r="E655" s="177"/>
      <c r="F655" s="177"/>
      <c r="G655" s="177"/>
      <c r="H655" s="177"/>
      <c r="I655" s="177"/>
    </row>
    <row r="656" spans="3:9" x14ac:dyDescent="0.25">
      <c r="C656" s="177"/>
      <c r="D656" s="177"/>
      <c r="E656" s="177"/>
      <c r="F656" s="177"/>
      <c r="G656" s="177"/>
      <c r="H656" s="177"/>
      <c r="I656" s="177"/>
    </row>
    <row r="657" spans="3:9" x14ac:dyDescent="0.25">
      <c r="C657" s="177"/>
      <c r="D657" s="177"/>
      <c r="E657" s="177"/>
      <c r="F657" s="177"/>
      <c r="G657" s="177"/>
      <c r="H657" s="177"/>
      <c r="I657" s="177"/>
    </row>
    <row r="658" spans="3:9" x14ac:dyDescent="0.25">
      <c r="C658" s="177"/>
      <c r="D658" s="177"/>
      <c r="E658" s="177"/>
      <c r="F658" s="177"/>
      <c r="G658" s="177"/>
      <c r="H658" s="177"/>
      <c r="I658" s="177"/>
    </row>
    <row r="659" spans="3:9" x14ac:dyDescent="0.25">
      <c r="C659" s="177"/>
      <c r="D659" s="177"/>
      <c r="E659" s="177"/>
      <c r="F659" s="177"/>
      <c r="G659" s="177"/>
      <c r="H659" s="177"/>
      <c r="I659" s="177"/>
    </row>
    <row r="660" spans="3:9" x14ac:dyDescent="0.25">
      <c r="C660" s="177"/>
      <c r="D660" s="177"/>
      <c r="E660" s="177"/>
      <c r="F660" s="177"/>
      <c r="G660" s="177"/>
      <c r="H660" s="177"/>
      <c r="I660" s="177"/>
    </row>
    <row r="661" spans="3:9" x14ac:dyDescent="0.25">
      <c r="C661" s="177"/>
      <c r="D661" s="177"/>
      <c r="E661" s="177"/>
      <c r="F661" s="177"/>
      <c r="G661" s="177"/>
      <c r="H661" s="177"/>
      <c r="I661" s="177"/>
    </row>
    <row r="662" spans="3:9" x14ac:dyDescent="0.25">
      <c r="C662" s="177"/>
      <c r="D662" s="177"/>
      <c r="E662" s="177"/>
      <c r="F662" s="177"/>
      <c r="G662" s="177"/>
      <c r="H662" s="177"/>
      <c r="I662" s="177"/>
    </row>
    <row r="663" spans="3:9" x14ac:dyDescent="0.25">
      <c r="C663" s="177"/>
      <c r="D663" s="177"/>
      <c r="E663" s="177"/>
      <c r="F663" s="177"/>
      <c r="G663" s="177"/>
      <c r="H663" s="177"/>
      <c r="I663" s="177"/>
    </row>
    <row r="664" spans="3:9" x14ac:dyDescent="0.25">
      <c r="C664" s="177"/>
      <c r="D664" s="177"/>
      <c r="E664" s="177"/>
      <c r="F664" s="177"/>
      <c r="G664" s="177"/>
      <c r="H664" s="177"/>
      <c r="I664" s="177"/>
    </row>
    <row r="665" spans="3:9" x14ac:dyDescent="0.25">
      <c r="C665" s="177"/>
      <c r="D665" s="177"/>
      <c r="E665" s="177"/>
      <c r="F665" s="177"/>
      <c r="G665" s="177"/>
      <c r="H665" s="177"/>
      <c r="I665" s="177"/>
    </row>
    <row r="666" spans="3:9" x14ac:dyDescent="0.25">
      <c r="C666" s="177"/>
      <c r="D666" s="177"/>
      <c r="E666" s="177"/>
      <c r="F666" s="177"/>
      <c r="G666" s="177"/>
      <c r="H666" s="177"/>
      <c r="I666" s="177"/>
    </row>
    <row r="667" spans="3:9" x14ac:dyDescent="0.25">
      <c r="C667" s="177"/>
      <c r="D667" s="177"/>
      <c r="E667" s="177"/>
      <c r="F667" s="177"/>
      <c r="G667" s="177"/>
      <c r="H667" s="177"/>
      <c r="I667" s="177"/>
    </row>
    <row r="668" spans="3:9" x14ac:dyDescent="0.25">
      <c r="C668" s="177"/>
      <c r="D668" s="177"/>
      <c r="E668" s="177"/>
      <c r="F668" s="177"/>
      <c r="G668" s="177"/>
      <c r="H668" s="177"/>
      <c r="I668" s="177"/>
    </row>
    <row r="669" spans="3:9" x14ac:dyDescent="0.25">
      <c r="C669" s="177"/>
      <c r="D669" s="177"/>
      <c r="E669" s="177"/>
      <c r="F669" s="177"/>
      <c r="G669" s="177"/>
      <c r="H669" s="177"/>
      <c r="I669" s="177"/>
    </row>
    <row r="670" spans="3:9" x14ac:dyDescent="0.25">
      <c r="C670" s="177"/>
      <c r="D670" s="177"/>
      <c r="E670" s="177"/>
      <c r="F670" s="177"/>
      <c r="G670" s="177"/>
      <c r="H670" s="177"/>
      <c r="I670" s="177"/>
    </row>
    <row r="671" spans="3:9" x14ac:dyDescent="0.25">
      <c r="C671" s="177"/>
      <c r="D671" s="177"/>
      <c r="E671" s="177"/>
      <c r="F671" s="177"/>
      <c r="G671" s="177"/>
      <c r="H671" s="177"/>
      <c r="I671" s="177"/>
    </row>
    <row r="672" spans="3:9" x14ac:dyDescent="0.25">
      <c r="C672" s="177"/>
      <c r="D672" s="177"/>
      <c r="E672" s="177"/>
      <c r="F672" s="177"/>
      <c r="G672" s="177"/>
      <c r="H672" s="177"/>
      <c r="I672" s="177"/>
    </row>
    <row r="673" spans="3:9" x14ac:dyDescent="0.25">
      <c r="C673" s="177"/>
      <c r="D673" s="177"/>
      <c r="E673" s="177"/>
      <c r="F673" s="177"/>
      <c r="G673" s="177"/>
      <c r="H673" s="177"/>
      <c r="I673" s="177"/>
    </row>
    <row r="674" spans="3:9" x14ac:dyDescent="0.25">
      <c r="C674" s="177"/>
      <c r="D674" s="177"/>
      <c r="E674" s="177"/>
      <c r="F674" s="177"/>
      <c r="G674" s="177"/>
      <c r="H674" s="177"/>
      <c r="I674" s="177"/>
    </row>
    <row r="675" spans="3:9" x14ac:dyDescent="0.25">
      <c r="C675" s="177"/>
      <c r="D675" s="177"/>
      <c r="E675" s="177"/>
      <c r="F675" s="177"/>
      <c r="G675" s="177"/>
      <c r="H675" s="177"/>
      <c r="I675" s="177"/>
    </row>
    <row r="676" spans="3:9" x14ac:dyDescent="0.25">
      <c r="C676" s="177"/>
      <c r="D676" s="177"/>
      <c r="E676" s="177"/>
      <c r="F676" s="177"/>
      <c r="G676" s="177"/>
      <c r="H676" s="177"/>
      <c r="I676" s="177"/>
    </row>
    <row r="677" spans="3:9" x14ac:dyDescent="0.25">
      <c r="C677" s="177"/>
      <c r="D677" s="177"/>
      <c r="E677" s="177"/>
      <c r="F677" s="177"/>
      <c r="G677" s="177"/>
      <c r="H677" s="177"/>
      <c r="I677" s="177"/>
    </row>
    <row r="678" spans="3:9" x14ac:dyDescent="0.25">
      <c r="C678" s="177"/>
      <c r="D678" s="177"/>
      <c r="E678" s="177"/>
      <c r="F678" s="177"/>
      <c r="G678" s="177"/>
      <c r="H678" s="177"/>
      <c r="I678" s="177"/>
    </row>
    <row r="679" spans="3:9" x14ac:dyDescent="0.25">
      <c r="C679" s="177"/>
      <c r="D679" s="177"/>
      <c r="E679" s="177"/>
      <c r="F679" s="177"/>
      <c r="G679" s="177"/>
      <c r="H679" s="177"/>
      <c r="I679" s="177"/>
    </row>
    <row r="680" spans="3:9" x14ac:dyDescent="0.25">
      <c r="C680" s="177"/>
      <c r="D680" s="177"/>
      <c r="E680" s="177"/>
      <c r="F680" s="177"/>
      <c r="G680" s="177"/>
      <c r="H680" s="177"/>
      <c r="I680" s="177"/>
    </row>
    <row r="681" spans="3:9" x14ac:dyDescent="0.25">
      <c r="C681" s="177"/>
      <c r="D681" s="177"/>
      <c r="E681" s="177"/>
      <c r="F681" s="177"/>
      <c r="G681" s="177"/>
      <c r="H681" s="177"/>
      <c r="I681" s="177"/>
    </row>
    <row r="682" spans="3:9" x14ac:dyDescent="0.25">
      <c r="C682" s="177"/>
      <c r="D682" s="177"/>
      <c r="E682" s="177"/>
      <c r="F682" s="177"/>
      <c r="G682" s="177"/>
      <c r="H682" s="177"/>
      <c r="I682" s="177"/>
    </row>
    <row r="683" spans="3:9" x14ac:dyDescent="0.25">
      <c r="C683" s="177"/>
      <c r="D683" s="177"/>
      <c r="E683" s="177"/>
      <c r="F683" s="177"/>
      <c r="G683" s="177"/>
      <c r="H683" s="177"/>
      <c r="I683" s="177"/>
    </row>
    <row r="684" spans="3:9" x14ac:dyDescent="0.25">
      <c r="C684" s="177"/>
      <c r="D684" s="177"/>
      <c r="E684" s="177"/>
      <c r="F684" s="177"/>
      <c r="G684" s="177"/>
      <c r="H684" s="177"/>
      <c r="I684" s="177"/>
    </row>
    <row r="685" spans="3:9" x14ac:dyDescent="0.25">
      <c r="C685" s="177"/>
      <c r="D685" s="177"/>
      <c r="E685" s="177"/>
      <c r="F685" s="177"/>
      <c r="G685" s="177"/>
      <c r="H685" s="177"/>
      <c r="I685" s="177"/>
    </row>
    <row r="686" spans="3:9" x14ac:dyDescent="0.25">
      <c r="C686" s="177"/>
      <c r="D686" s="177"/>
      <c r="E686" s="177"/>
      <c r="F686" s="177"/>
      <c r="G686" s="177"/>
      <c r="H686" s="177"/>
      <c r="I686" s="177"/>
    </row>
    <row r="687" spans="3:9" x14ac:dyDescent="0.25">
      <c r="C687" s="177"/>
      <c r="D687" s="177"/>
      <c r="E687" s="177"/>
      <c r="F687" s="177"/>
      <c r="G687" s="177"/>
      <c r="H687" s="177"/>
      <c r="I687" s="177"/>
    </row>
    <row r="688" spans="3:9" x14ac:dyDescent="0.25">
      <c r="C688" s="177"/>
      <c r="D688" s="177"/>
      <c r="E688" s="177"/>
      <c r="F688" s="177"/>
      <c r="G688" s="177"/>
      <c r="H688" s="177"/>
      <c r="I688" s="177"/>
    </row>
    <row r="689" spans="3:9" x14ac:dyDescent="0.25">
      <c r="C689" s="177"/>
      <c r="D689" s="177"/>
      <c r="E689" s="177"/>
      <c r="F689" s="177"/>
      <c r="G689" s="177"/>
      <c r="H689" s="177"/>
      <c r="I689" s="177"/>
    </row>
    <row r="690" spans="3:9" x14ac:dyDescent="0.25">
      <c r="C690" s="177"/>
      <c r="D690" s="177"/>
      <c r="E690" s="177"/>
      <c r="F690" s="177"/>
      <c r="G690" s="177"/>
      <c r="H690" s="177"/>
      <c r="I690" s="177"/>
    </row>
    <row r="691" spans="3:9" x14ac:dyDescent="0.25">
      <c r="C691" s="177"/>
      <c r="D691" s="177"/>
      <c r="E691" s="177"/>
      <c r="F691" s="177"/>
      <c r="G691" s="177"/>
      <c r="H691" s="177"/>
      <c r="I691" s="177"/>
    </row>
    <row r="692" spans="3:9" x14ac:dyDescent="0.25">
      <c r="C692" s="177"/>
      <c r="D692" s="177"/>
      <c r="E692" s="177"/>
      <c r="F692" s="177"/>
      <c r="G692" s="177"/>
      <c r="H692" s="177"/>
      <c r="I692" s="177"/>
    </row>
    <row r="693" spans="3:9" x14ac:dyDescent="0.25">
      <c r="C693" s="177"/>
      <c r="D693" s="177"/>
      <c r="E693" s="177"/>
      <c r="F693" s="177"/>
      <c r="G693" s="177"/>
      <c r="H693" s="177"/>
      <c r="I693" s="177"/>
    </row>
    <row r="694" spans="3:9" x14ac:dyDescent="0.25">
      <c r="C694" s="177"/>
      <c r="D694" s="177"/>
      <c r="E694" s="177"/>
      <c r="F694" s="177"/>
      <c r="G694" s="177"/>
      <c r="H694" s="177"/>
      <c r="I694" s="177"/>
    </row>
    <row r="695" spans="3:9" x14ac:dyDescent="0.25">
      <c r="C695" s="177"/>
      <c r="D695" s="177"/>
      <c r="E695" s="177"/>
      <c r="F695" s="177"/>
      <c r="G695" s="177"/>
      <c r="H695" s="177"/>
      <c r="I695" s="177"/>
    </row>
    <row r="696" spans="3:9" x14ac:dyDescent="0.25">
      <c r="C696" s="177"/>
      <c r="D696" s="177"/>
      <c r="E696" s="177"/>
      <c r="F696" s="177"/>
      <c r="G696" s="177"/>
      <c r="H696" s="177"/>
      <c r="I696" s="177"/>
    </row>
    <row r="697" spans="3:9" x14ac:dyDescent="0.25">
      <c r="C697" s="177"/>
      <c r="D697" s="177"/>
      <c r="E697" s="177"/>
      <c r="F697" s="177"/>
      <c r="G697" s="177"/>
      <c r="H697" s="177"/>
      <c r="I697" s="177"/>
    </row>
    <row r="698" spans="3:9" x14ac:dyDescent="0.25">
      <c r="C698" s="177"/>
      <c r="D698" s="177"/>
      <c r="E698" s="177"/>
      <c r="F698" s="177"/>
      <c r="G698" s="177"/>
      <c r="H698" s="177"/>
      <c r="I698" s="177"/>
    </row>
    <row r="699" spans="3:9" x14ac:dyDescent="0.25">
      <c r="C699" s="177"/>
      <c r="D699" s="177"/>
      <c r="E699" s="177"/>
      <c r="F699" s="177"/>
      <c r="G699" s="177"/>
      <c r="H699" s="177"/>
      <c r="I699" s="177"/>
    </row>
    <row r="700" spans="3:9" x14ac:dyDescent="0.25">
      <c r="C700" s="177"/>
      <c r="D700" s="177"/>
      <c r="E700" s="177"/>
      <c r="F700" s="177"/>
      <c r="G700" s="177"/>
      <c r="H700" s="177"/>
      <c r="I700" s="177"/>
    </row>
    <row r="701" spans="3:9" x14ac:dyDescent="0.25">
      <c r="C701" s="177"/>
      <c r="D701" s="177"/>
      <c r="E701" s="177"/>
      <c r="F701" s="177"/>
      <c r="G701" s="177"/>
      <c r="H701" s="177"/>
      <c r="I701" s="177"/>
    </row>
    <row r="702" spans="3:9" x14ac:dyDescent="0.25">
      <c r="C702" s="177"/>
      <c r="D702" s="177"/>
      <c r="E702" s="177"/>
      <c r="F702" s="177"/>
      <c r="G702" s="177"/>
      <c r="H702" s="177"/>
      <c r="I702" s="177"/>
    </row>
    <row r="703" spans="3:9" x14ac:dyDescent="0.25">
      <c r="C703" s="177"/>
      <c r="D703" s="177"/>
      <c r="E703" s="177"/>
      <c r="F703" s="177"/>
      <c r="G703" s="177"/>
      <c r="H703" s="177"/>
      <c r="I703" s="177"/>
    </row>
    <row r="704" spans="3:9" x14ac:dyDescent="0.25">
      <c r="C704" s="177"/>
      <c r="D704" s="177"/>
      <c r="E704" s="177"/>
      <c r="F704" s="177"/>
      <c r="G704" s="177"/>
      <c r="H704" s="177"/>
      <c r="I704" s="177"/>
    </row>
    <row r="705" spans="3:9" x14ac:dyDescent="0.25">
      <c r="C705" s="177"/>
      <c r="D705" s="177"/>
      <c r="E705" s="177"/>
      <c r="F705" s="177"/>
      <c r="G705" s="177"/>
      <c r="H705" s="177"/>
      <c r="I705" s="177"/>
    </row>
    <row r="706" spans="3:9" x14ac:dyDescent="0.25">
      <c r="C706" s="177"/>
      <c r="D706" s="177"/>
      <c r="E706" s="177"/>
      <c r="F706" s="177"/>
      <c r="G706" s="177"/>
      <c r="H706" s="177"/>
      <c r="I706" s="177"/>
    </row>
    <row r="707" spans="3:9" x14ac:dyDescent="0.25">
      <c r="C707" s="177"/>
      <c r="D707" s="177"/>
      <c r="E707" s="177"/>
      <c r="F707" s="177"/>
      <c r="G707" s="177"/>
      <c r="H707" s="177"/>
      <c r="I707" s="177"/>
    </row>
    <row r="708" spans="3:9" x14ac:dyDescent="0.25">
      <c r="C708" s="177"/>
      <c r="D708" s="177"/>
      <c r="E708" s="177"/>
      <c r="F708" s="177"/>
      <c r="G708" s="177"/>
      <c r="H708" s="177"/>
      <c r="I708" s="177"/>
    </row>
    <row r="709" spans="3:9" x14ac:dyDescent="0.25">
      <c r="C709" s="177"/>
      <c r="D709" s="177"/>
      <c r="E709" s="177"/>
      <c r="F709" s="177"/>
      <c r="G709" s="177"/>
      <c r="H709" s="177"/>
      <c r="I709" s="177"/>
    </row>
    <row r="710" spans="3:9" x14ac:dyDescent="0.25">
      <c r="C710" s="177"/>
      <c r="D710" s="177"/>
      <c r="E710" s="177"/>
      <c r="F710" s="177"/>
      <c r="G710" s="177"/>
      <c r="H710" s="177"/>
      <c r="I710" s="177"/>
    </row>
    <row r="711" spans="3:9" x14ac:dyDescent="0.25">
      <c r="C711" s="177"/>
      <c r="D711" s="177"/>
      <c r="E711" s="177"/>
      <c r="F711" s="177"/>
      <c r="G711" s="177"/>
      <c r="H711" s="177"/>
      <c r="I711" s="177"/>
    </row>
    <row r="712" spans="3:9" x14ac:dyDescent="0.25">
      <c r="C712" s="177"/>
      <c r="D712" s="177"/>
      <c r="E712" s="177"/>
      <c r="F712" s="177"/>
      <c r="G712" s="177"/>
      <c r="H712" s="177"/>
      <c r="I712" s="177"/>
    </row>
    <row r="713" spans="3:9" x14ac:dyDescent="0.25">
      <c r="C713" s="177"/>
      <c r="D713" s="177"/>
      <c r="E713" s="177"/>
      <c r="F713" s="177"/>
      <c r="G713" s="177"/>
      <c r="H713" s="177"/>
      <c r="I713" s="177"/>
    </row>
    <row r="714" spans="3:9" x14ac:dyDescent="0.25">
      <c r="C714" s="177"/>
      <c r="D714" s="177"/>
      <c r="E714" s="177"/>
      <c r="F714" s="177"/>
      <c r="G714" s="177"/>
      <c r="H714" s="177"/>
      <c r="I714" s="177"/>
    </row>
    <row r="715" spans="3:9" x14ac:dyDescent="0.25">
      <c r="C715" s="177"/>
      <c r="D715" s="177"/>
      <c r="E715" s="177"/>
      <c r="F715" s="177"/>
      <c r="G715" s="177"/>
      <c r="H715" s="177"/>
      <c r="I715" s="177"/>
    </row>
    <row r="716" spans="3:9" x14ac:dyDescent="0.25">
      <c r="C716" s="177"/>
      <c r="D716" s="177"/>
      <c r="E716" s="177"/>
      <c r="F716" s="177"/>
      <c r="G716" s="177"/>
      <c r="H716" s="177"/>
      <c r="I716" s="177"/>
    </row>
    <row r="717" spans="3:9" x14ac:dyDescent="0.25">
      <c r="C717" s="177"/>
      <c r="D717" s="177"/>
      <c r="E717" s="177"/>
      <c r="F717" s="177"/>
      <c r="G717" s="177"/>
      <c r="H717" s="177"/>
      <c r="I717" s="177"/>
    </row>
    <row r="718" spans="3:9" x14ac:dyDescent="0.25">
      <c r="C718" s="177"/>
      <c r="D718" s="177"/>
      <c r="E718" s="177"/>
      <c r="F718" s="177"/>
      <c r="G718" s="177"/>
      <c r="H718" s="177"/>
      <c r="I718" s="177"/>
    </row>
    <row r="719" spans="3:9" x14ac:dyDescent="0.25">
      <c r="C719" s="177"/>
      <c r="D719" s="177"/>
      <c r="E719" s="177"/>
      <c r="F719" s="177"/>
      <c r="G719" s="177"/>
      <c r="H719" s="177"/>
      <c r="I719" s="177"/>
    </row>
    <row r="720" spans="3:9" x14ac:dyDescent="0.25">
      <c r="C720" s="177"/>
      <c r="D720" s="177"/>
      <c r="E720" s="177"/>
      <c r="F720" s="177"/>
      <c r="G720" s="177"/>
      <c r="H720" s="177"/>
      <c r="I720" s="177"/>
    </row>
    <row r="721" spans="3:9" x14ac:dyDescent="0.25">
      <c r="C721" s="177"/>
      <c r="D721" s="177"/>
      <c r="E721" s="177"/>
      <c r="F721" s="177"/>
      <c r="G721" s="177"/>
      <c r="H721" s="177"/>
      <c r="I721" s="177"/>
    </row>
    <row r="722" spans="3:9" x14ac:dyDescent="0.25">
      <c r="C722" s="177"/>
      <c r="D722" s="177"/>
      <c r="E722" s="177"/>
      <c r="F722" s="177"/>
      <c r="G722" s="177"/>
      <c r="H722" s="177"/>
      <c r="I722" s="177"/>
    </row>
    <row r="723" spans="3:9" x14ac:dyDescent="0.25">
      <c r="C723" s="177"/>
      <c r="D723" s="177"/>
      <c r="E723" s="177"/>
      <c r="F723" s="177"/>
      <c r="G723" s="177"/>
      <c r="H723" s="177"/>
      <c r="I723" s="177"/>
    </row>
    <row r="724" spans="3:9" x14ac:dyDescent="0.25">
      <c r="C724" s="177"/>
      <c r="D724" s="177"/>
      <c r="E724" s="177"/>
      <c r="F724" s="177"/>
      <c r="G724" s="177"/>
      <c r="H724" s="177"/>
      <c r="I724" s="177"/>
    </row>
    <row r="725" spans="3:9" x14ac:dyDescent="0.25">
      <c r="C725" s="177"/>
      <c r="D725" s="177"/>
      <c r="E725" s="177"/>
      <c r="F725" s="177"/>
      <c r="G725" s="177"/>
      <c r="H725" s="177"/>
      <c r="I725" s="177"/>
    </row>
    <row r="726" spans="3:9" x14ac:dyDescent="0.25">
      <c r="C726" s="177"/>
      <c r="D726" s="177"/>
      <c r="E726" s="177"/>
      <c r="F726" s="177"/>
      <c r="G726" s="177"/>
      <c r="H726" s="177"/>
      <c r="I726" s="177"/>
    </row>
    <row r="727" spans="3:9" x14ac:dyDescent="0.25">
      <c r="C727" s="177"/>
      <c r="D727" s="177"/>
      <c r="E727" s="177"/>
      <c r="F727" s="177"/>
      <c r="G727" s="177"/>
      <c r="H727" s="177"/>
      <c r="I727" s="177"/>
    </row>
    <row r="728" spans="3:9" x14ac:dyDescent="0.25">
      <c r="C728" s="177"/>
      <c r="D728" s="177"/>
      <c r="E728" s="177"/>
      <c r="F728" s="177"/>
      <c r="G728" s="177"/>
      <c r="H728" s="177"/>
      <c r="I728" s="177"/>
    </row>
    <row r="729" spans="3:9" x14ac:dyDescent="0.25">
      <c r="C729" s="177"/>
      <c r="D729" s="177"/>
      <c r="E729" s="177"/>
      <c r="F729" s="177"/>
      <c r="G729" s="177"/>
      <c r="H729" s="177"/>
      <c r="I729" s="177"/>
    </row>
    <row r="730" spans="3:9" x14ac:dyDescent="0.25">
      <c r="C730" s="177"/>
      <c r="D730" s="177"/>
      <c r="E730" s="177"/>
      <c r="F730" s="177"/>
      <c r="G730" s="177"/>
      <c r="H730" s="177"/>
      <c r="I730" s="177"/>
    </row>
    <row r="731" spans="3:9" x14ac:dyDescent="0.25">
      <c r="C731" s="177"/>
      <c r="D731" s="177"/>
      <c r="E731" s="177"/>
      <c r="F731" s="177"/>
      <c r="G731" s="177"/>
      <c r="H731" s="177"/>
      <c r="I731" s="177"/>
    </row>
    <row r="732" spans="3:9" x14ac:dyDescent="0.25">
      <c r="C732" s="177"/>
      <c r="D732" s="177"/>
      <c r="E732" s="177"/>
      <c r="F732" s="177"/>
      <c r="G732" s="177"/>
      <c r="H732" s="177"/>
      <c r="I732" s="177"/>
    </row>
    <row r="733" spans="3:9" x14ac:dyDescent="0.25">
      <c r="C733" s="177"/>
      <c r="D733" s="177"/>
      <c r="E733" s="177"/>
      <c r="F733" s="177"/>
      <c r="G733" s="177"/>
      <c r="H733" s="177"/>
      <c r="I733" s="177"/>
    </row>
    <row r="734" spans="3:9" x14ac:dyDescent="0.25">
      <c r="C734" s="177"/>
      <c r="D734" s="177"/>
      <c r="E734" s="177"/>
      <c r="F734" s="177"/>
      <c r="G734" s="177"/>
      <c r="H734" s="177"/>
      <c r="I734" s="177"/>
    </row>
    <row r="735" spans="3:9" x14ac:dyDescent="0.25">
      <c r="C735" s="177"/>
      <c r="D735" s="177"/>
      <c r="E735" s="177"/>
      <c r="F735" s="177"/>
      <c r="G735" s="177"/>
      <c r="H735" s="177"/>
      <c r="I735" s="177"/>
    </row>
    <row r="736" spans="3:9" x14ac:dyDescent="0.25">
      <c r="C736" s="177"/>
      <c r="D736" s="177"/>
      <c r="E736" s="177"/>
      <c r="F736" s="177"/>
      <c r="G736" s="177"/>
      <c r="H736" s="177"/>
      <c r="I736" s="177"/>
    </row>
    <row r="737" spans="3:9" x14ac:dyDescent="0.25">
      <c r="C737" s="177"/>
      <c r="D737" s="177"/>
      <c r="E737" s="177"/>
      <c r="F737" s="177"/>
      <c r="G737" s="177"/>
      <c r="H737" s="177"/>
      <c r="I737" s="177"/>
    </row>
    <row r="738" spans="3:9" x14ac:dyDescent="0.25">
      <c r="C738" s="177"/>
      <c r="D738" s="177"/>
      <c r="E738" s="177"/>
      <c r="F738" s="177"/>
      <c r="G738" s="177"/>
      <c r="H738" s="177"/>
      <c r="I738" s="177"/>
    </row>
    <row r="739" spans="3:9" x14ac:dyDescent="0.25">
      <c r="C739" s="177"/>
      <c r="D739" s="177"/>
      <c r="E739" s="177"/>
      <c r="F739" s="177"/>
      <c r="G739" s="177"/>
      <c r="H739" s="177"/>
      <c r="I739" s="177"/>
    </row>
    <row r="740" spans="3:9" x14ac:dyDescent="0.25">
      <c r="C740" s="177"/>
      <c r="D740" s="177"/>
      <c r="E740" s="177"/>
      <c r="F740" s="177"/>
      <c r="G740" s="177"/>
      <c r="H740" s="177"/>
      <c r="I740" s="177"/>
    </row>
    <row r="741" spans="3:9" x14ac:dyDescent="0.25">
      <c r="C741" s="177"/>
      <c r="D741" s="177"/>
      <c r="E741" s="177"/>
      <c r="F741" s="177"/>
      <c r="G741" s="177"/>
      <c r="H741" s="177"/>
      <c r="I741" s="177"/>
    </row>
    <row r="742" spans="3:9" x14ac:dyDescent="0.25">
      <c r="C742" s="177"/>
      <c r="D742" s="177"/>
      <c r="E742" s="177"/>
      <c r="F742" s="177"/>
      <c r="G742" s="177"/>
      <c r="H742" s="177"/>
      <c r="I742" s="177"/>
    </row>
    <row r="743" spans="3:9" x14ac:dyDescent="0.25">
      <c r="C743" s="177"/>
      <c r="D743" s="177"/>
      <c r="E743" s="177"/>
      <c r="F743" s="177"/>
      <c r="G743" s="177"/>
      <c r="H743" s="177"/>
      <c r="I743" s="177"/>
    </row>
    <row r="744" spans="3:9" x14ac:dyDescent="0.25">
      <c r="C744" s="177"/>
      <c r="D744" s="177"/>
      <c r="E744" s="177"/>
      <c r="F744" s="177"/>
      <c r="G744" s="177"/>
      <c r="H744" s="177"/>
      <c r="I744" s="177"/>
    </row>
    <row r="745" spans="3:9" x14ac:dyDescent="0.25">
      <c r="C745" s="177"/>
      <c r="D745" s="177"/>
      <c r="E745" s="177"/>
      <c r="F745" s="177"/>
      <c r="G745" s="177"/>
      <c r="H745" s="177"/>
      <c r="I745" s="177"/>
    </row>
    <row r="746" spans="3:9" x14ac:dyDescent="0.25">
      <c r="C746" s="177"/>
      <c r="D746" s="177"/>
      <c r="E746" s="177"/>
      <c r="F746" s="177"/>
      <c r="G746" s="177"/>
      <c r="H746" s="177"/>
      <c r="I746" s="177"/>
    </row>
    <row r="747" spans="3:9" x14ac:dyDescent="0.25">
      <c r="C747" s="177"/>
      <c r="D747" s="177"/>
      <c r="E747" s="177"/>
      <c r="F747" s="177"/>
      <c r="G747" s="177"/>
      <c r="H747" s="177"/>
      <c r="I747" s="177"/>
    </row>
    <row r="748" spans="3:9" x14ac:dyDescent="0.25">
      <c r="C748" s="177"/>
      <c r="D748" s="177"/>
      <c r="E748" s="177"/>
      <c r="F748" s="177"/>
      <c r="G748" s="177"/>
      <c r="H748" s="177"/>
      <c r="I748" s="177"/>
    </row>
    <row r="749" spans="3:9" x14ac:dyDescent="0.25">
      <c r="C749" s="177"/>
      <c r="D749" s="177"/>
      <c r="E749" s="177"/>
      <c r="F749" s="177"/>
      <c r="G749" s="177"/>
      <c r="H749" s="177"/>
      <c r="I749" s="177"/>
    </row>
    <row r="750" spans="3:9" x14ac:dyDescent="0.25">
      <c r="C750" s="177"/>
      <c r="D750" s="177"/>
      <c r="E750" s="177"/>
      <c r="F750" s="177"/>
      <c r="G750" s="177"/>
      <c r="H750" s="177"/>
      <c r="I750" s="177"/>
    </row>
    <row r="751" spans="3:9" x14ac:dyDescent="0.25">
      <c r="C751" s="177"/>
      <c r="D751" s="177"/>
      <c r="E751" s="177"/>
      <c r="F751" s="177"/>
      <c r="G751" s="177"/>
      <c r="H751" s="177"/>
      <c r="I751" s="177"/>
    </row>
    <row r="752" spans="3:9" x14ac:dyDescent="0.25">
      <c r="C752" s="177"/>
      <c r="D752" s="177"/>
      <c r="E752" s="177"/>
      <c r="F752" s="177"/>
      <c r="G752" s="177"/>
      <c r="H752" s="177"/>
      <c r="I752" s="177"/>
    </row>
    <row r="753" spans="3:9" x14ac:dyDescent="0.25">
      <c r="C753" s="177"/>
      <c r="D753" s="177"/>
      <c r="E753" s="177"/>
      <c r="F753" s="177"/>
      <c r="G753" s="177"/>
      <c r="H753" s="177"/>
      <c r="I753" s="177"/>
    </row>
    <row r="754" spans="3:9" x14ac:dyDescent="0.25">
      <c r="C754" s="177"/>
      <c r="D754" s="177"/>
      <c r="E754" s="177"/>
      <c r="F754" s="177"/>
      <c r="G754" s="177"/>
      <c r="H754" s="177"/>
      <c r="I754" s="177"/>
    </row>
    <row r="755" spans="3:9" x14ac:dyDescent="0.25">
      <c r="C755" s="177"/>
      <c r="D755" s="177"/>
      <c r="E755" s="177"/>
      <c r="F755" s="177"/>
      <c r="G755" s="177"/>
      <c r="H755" s="177"/>
      <c r="I755" s="177"/>
    </row>
    <row r="756" spans="3:9" x14ac:dyDescent="0.25">
      <c r="C756" s="177"/>
      <c r="D756" s="177"/>
      <c r="E756" s="177"/>
      <c r="F756" s="177"/>
      <c r="G756" s="177"/>
      <c r="H756" s="177"/>
      <c r="I756" s="177"/>
    </row>
    <row r="757" spans="3:9" x14ac:dyDescent="0.25">
      <c r="C757" s="177"/>
      <c r="D757" s="177"/>
      <c r="E757" s="177"/>
      <c r="F757" s="177"/>
      <c r="G757" s="177"/>
      <c r="H757" s="177"/>
      <c r="I757" s="177"/>
    </row>
    <row r="758" spans="3:9" x14ac:dyDescent="0.25">
      <c r="C758" s="177"/>
      <c r="D758" s="177"/>
      <c r="E758" s="177"/>
      <c r="F758" s="177"/>
      <c r="G758" s="177"/>
      <c r="H758" s="177"/>
      <c r="I758" s="177"/>
    </row>
    <row r="759" spans="3:9" x14ac:dyDescent="0.25">
      <c r="C759" s="177"/>
      <c r="D759" s="177"/>
      <c r="E759" s="177"/>
      <c r="F759" s="177"/>
      <c r="G759" s="177"/>
      <c r="H759" s="177"/>
      <c r="I759" s="177"/>
    </row>
    <row r="760" spans="3:9" x14ac:dyDescent="0.25">
      <c r="C760" s="177"/>
      <c r="D760" s="177"/>
      <c r="E760" s="177"/>
      <c r="F760" s="177"/>
      <c r="G760" s="177"/>
      <c r="H760" s="177"/>
      <c r="I760" s="177"/>
    </row>
    <row r="761" spans="3:9" x14ac:dyDescent="0.25">
      <c r="C761" s="177"/>
      <c r="D761" s="177"/>
      <c r="E761" s="177"/>
      <c r="F761" s="177"/>
      <c r="G761" s="177"/>
      <c r="H761" s="177"/>
      <c r="I761" s="177"/>
    </row>
    <row r="762" spans="3:9" x14ac:dyDescent="0.25">
      <c r="C762" s="177"/>
      <c r="D762" s="177"/>
      <c r="E762" s="177"/>
      <c r="F762" s="177"/>
      <c r="G762" s="177"/>
      <c r="H762" s="177"/>
      <c r="I762" s="177"/>
    </row>
    <row r="763" spans="3:9" x14ac:dyDescent="0.25">
      <c r="C763" s="177"/>
      <c r="D763" s="177"/>
      <c r="E763" s="177"/>
      <c r="F763" s="177"/>
      <c r="G763" s="177"/>
      <c r="H763" s="177"/>
      <c r="I763" s="177"/>
    </row>
    <row r="764" spans="3:9" x14ac:dyDescent="0.25">
      <c r="C764" s="177"/>
      <c r="D764" s="177"/>
      <c r="E764" s="177"/>
      <c r="F764" s="177"/>
      <c r="G764" s="177"/>
      <c r="H764" s="177"/>
      <c r="I764" s="177"/>
    </row>
    <row r="765" spans="3:9" x14ac:dyDescent="0.25">
      <c r="C765" s="177"/>
      <c r="D765" s="177"/>
      <c r="E765" s="177"/>
      <c r="F765" s="177"/>
      <c r="G765" s="177"/>
      <c r="H765" s="177"/>
      <c r="I765" s="177"/>
    </row>
    <row r="766" spans="3:9" x14ac:dyDescent="0.25">
      <c r="C766" s="177"/>
      <c r="D766" s="177"/>
      <c r="E766" s="177"/>
      <c r="F766" s="177"/>
      <c r="G766" s="177"/>
      <c r="H766" s="177"/>
      <c r="I766" s="177"/>
    </row>
    <row r="767" spans="3:9" x14ac:dyDescent="0.25">
      <c r="C767" s="177"/>
      <c r="D767" s="177"/>
      <c r="E767" s="177"/>
      <c r="F767" s="177"/>
      <c r="G767" s="177"/>
      <c r="H767" s="177"/>
      <c r="I767" s="177"/>
    </row>
    <row r="768" spans="3:9" x14ac:dyDescent="0.25">
      <c r="C768" s="177"/>
      <c r="D768" s="177"/>
      <c r="E768" s="177"/>
      <c r="F768" s="177"/>
      <c r="G768" s="177"/>
      <c r="H768" s="177"/>
      <c r="I768" s="177"/>
    </row>
    <row r="769" spans="3:9" x14ac:dyDescent="0.25">
      <c r="C769" s="177"/>
      <c r="D769" s="177"/>
      <c r="E769" s="177"/>
      <c r="F769" s="177"/>
      <c r="G769" s="177"/>
      <c r="H769" s="177"/>
      <c r="I769" s="177"/>
    </row>
    <row r="770" spans="3:9" x14ac:dyDescent="0.25">
      <c r="C770" s="177"/>
      <c r="D770" s="177"/>
      <c r="E770" s="177"/>
      <c r="F770" s="177"/>
      <c r="G770" s="177"/>
      <c r="H770" s="177"/>
      <c r="I770" s="177"/>
    </row>
    <row r="771" spans="3:9" x14ac:dyDescent="0.25">
      <c r="C771" s="177"/>
      <c r="D771" s="177"/>
      <c r="E771" s="177"/>
      <c r="F771" s="177"/>
      <c r="G771" s="177"/>
      <c r="H771" s="177"/>
      <c r="I771" s="177"/>
    </row>
    <row r="772" spans="3:9" x14ac:dyDescent="0.25">
      <c r="C772" s="177"/>
      <c r="D772" s="177"/>
      <c r="E772" s="177"/>
      <c r="F772" s="177"/>
      <c r="G772" s="177"/>
      <c r="H772" s="177"/>
      <c r="I772" s="177"/>
    </row>
    <row r="773" spans="3:9" x14ac:dyDescent="0.25">
      <c r="C773" s="177"/>
      <c r="D773" s="177"/>
      <c r="E773" s="177"/>
      <c r="F773" s="177"/>
      <c r="G773" s="177"/>
      <c r="H773" s="177"/>
      <c r="I773" s="177"/>
    </row>
    <row r="774" spans="3:9" x14ac:dyDescent="0.25">
      <c r="C774" s="177"/>
      <c r="D774" s="177"/>
      <c r="E774" s="177"/>
      <c r="F774" s="177"/>
      <c r="G774" s="177"/>
      <c r="H774" s="177"/>
      <c r="I774" s="177"/>
    </row>
    <row r="775" spans="3:9" x14ac:dyDescent="0.25">
      <c r="C775" s="177"/>
      <c r="D775" s="177"/>
      <c r="E775" s="177"/>
      <c r="F775" s="177"/>
      <c r="G775" s="177"/>
      <c r="H775" s="177"/>
      <c r="I775" s="177"/>
    </row>
    <row r="776" spans="3:9" x14ac:dyDescent="0.25">
      <c r="C776" s="177"/>
      <c r="D776" s="177"/>
      <c r="E776" s="177"/>
      <c r="F776" s="177"/>
      <c r="G776" s="177"/>
      <c r="H776" s="177"/>
      <c r="I776" s="177"/>
    </row>
    <row r="777" spans="3:9" x14ac:dyDescent="0.25">
      <c r="C777" s="177"/>
      <c r="D777" s="177"/>
      <c r="E777" s="177"/>
      <c r="F777" s="177"/>
      <c r="G777" s="177"/>
      <c r="H777" s="177"/>
      <c r="I777" s="177"/>
    </row>
    <row r="778" spans="3:9" x14ac:dyDescent="0.25">
      <c r="C778" s="177"/>
      <c r="D778" s="177"/>
      <c r="E778" s="177"/>
      <c r="F778" s="177"/>
      <c r="G778" s="177"/>
      <c r="H778" s="177"/>
      <c r="I778" s="177"/>
    </row>
    <row r="779" spans="3:9" x14ac:dyDescent="0.25">
      <c r="C779" s="177"/>
      <c r="D779" s="177"/>
      <c r="E779" s="177"/>
      <c r="F779" s="177"/>
      <c r="G779" s="177"/>
      <c r="H779" s="177"/>
      <c r="I779" s="177"/>
    </row>
    <row r="780" spans="3:9" x14ac:dyDescent="0.25">
      <c r="C780" s="177"/>
      <c r="D780" s="177"/>
      <c r="E780" s="177"/>
      <c r="F780" s="177"/>
      <c r="G780" s="177"/>
      <c r="H780" s="177"/>
      <c r="I780" s="177"/>
    </row>
    <row r="781" spans="3:9" x14ac:dyDescent="0.25">
      <c r="C781" s="177"/>
      <c r="D781" s="177"/>
      <c r="E781" s="177"/>
      <c r="F781" s="177"/>
      <c r="G781" s="177"/>
      <c r="H781" s="177"/>
      <c r="I781" s="177"/>
    </row>
    <row r="782" spans="3:9" x14ac:dyDescent="0.25">
      <c r="C782" s="177"/>
      <c r="D782" s="177"/>
      <c r="E782" s="177"/>
      <c r="F782" s="177"/>
      <c r="G782" s="177"/>
      <c r="H782" s="177"/>
      <c r="I782" s="177"/>
    </row>
    <row r="783" spans="3:9" x14ac:dyDescent="0.25">
      <c r="C783" s="177"/>
      <c r="D783" s="177"/>
      <c r="E783" s="177"/>
      <c r="F783" s="177"/>
      <c r="G783" s="177"/>
      <c r="H783" s="177"/>
      <c r="I783" s="177"/>
    </row>
    <row r="784" spans="3:9" x14ac:dyDescent="0.25">
      <c r="C784" s="177"/>
      <c r="D784" s="177"/>
      <c r="E784" s="177"/>
      <c r="F784" s="177"/>
      <c r="G784" s="177"/>
      <c r="H784" s="177"/>
      <c r="I784" s="177"/>
    </row>
    <row r="785" spans="3:9" x14ac:dyDescent="0.25">
      <c r="C785" s="177"/>
      <c r="D785" s="177"/>
      <c r="E785" s="177"/>
      <c r="F785" s="177"/>
      <c r="G785" s="177"/>
      <c r="H785" s="177"/>
      <c r="I785" s="177"/>
    </row>
    <row r="786" spans="3:9" x14ac:dyDescent="0.25">
      <c r="C786" s="177"/>
      <c r="D786" s="177"/>
      <c r="E786" s="177"/>
      <c r="F786" s="177"/>
      <c r="G786" s="177"/>
      <c r="H786" s="177"/>
      <c r="I786" s="177"/>
    </row>
    <row r="787" spans="3:9" x14ac:dyDescent="0.25">
      <c r="C787" s="177"/>
      <c r="D787" s="177"/>
      <c r="E787" s="177"/>
      <c r="F787" s="177"/>
      <c r="G787" s="177"/>
      <c r="H787" s="177"/>
      <c r="I787" s="177"/>
    </row>
    <row r="788" spans="3:9" x14ac:dyDescent="0.25">
      <c r="C788" s="177"/>
      <c r="D788" s="177"/>
      <c r="E788" s="177"/>
      <c r="F788" s="177"/>
      <c r="G788" s="177"/>
      <c r="H788" s="177"/>
      <c r="I788" s="177"/>
    </row>
    <row r="789" spans="3:9" x14ac:dyDescent="0.25">
      <c r="C789" s="177"/>
      <c r="D789" s="177"/>
      <c r="E789" s="177"/>
      <c r="F789" s="177"/>
      <c r="G789" s="177"/>
      <c r="H789" s="177"/>
      <c r="I789" s="177"/>
    </row>
    <row r="790" spans="3:9" x14ac:dyDescent="0.25">
      <c r="C790" s="177"/>
      <c r="D790" s="177"/>
      <c r="E790" s="177"/>
      <c r="F790" s="177"/>
      <c r="G790" s="177"/>
      <c r="H790" s="177"/>
      <c r="I790" s="177"/>
    </row>
    <row r="791" spans="3:9" x14ac:dyDescent="0.25">
      <c r="C791" s="177"/>
      <c r="D791" s="177"/>
      <c r="E791" s="177"/>
      <c r="F791" s="177"/>
      <c r="G791" s="177"/>
      <c r="H791" s="177"/>
      <c r="I791" s="177"/>
    </row>
    <row r="792" spans="3:9" x14ac:dyDescent="0.25">
      <c r="C792" s="177"/>
      <c r="D792" s="177"/>
      <c r="E792" s="177"/>
      <c r="F792" s="177"/>
      <c r="G792" s="177"/>
      <c r="H792" s="177"/>
      <c r="I792" s="177"/>
    </row>
    <row r="793" spans="3:9" x14ac:dyDescent="0.25">
      <c r="C793" s="177"/>
      <c r="D793" s="177"/>
      <c r="E793" s="177"/>
      <c r="F793" s="177"/>
      <c r="G793" s="177"/>
      <c r="H793" s="177"/>
      <c r="I793" s="177"/>
    </row>
    <row r="794" spans="3:9" x14ac:dyDescent="0.25">
      <c r="C794" s="177"/>
      <c r="D794" s="177"/>
      <c r="E794" s="177"/>
      <c r="F794" s="177"/>
      <c r="G794" s="177"/>
      <c r="H794" s="177"/>
      <c r="I794" s="177"/>
    </row>
    <row r="795" spans="3:9" x14ac:dyDescent="0.25">
      <c r="C795" s="177"/>
      <c r="D795" s="177"/>
      <c r="E795" s="177"/>
      <c r="F795" s="177"/>
      <c r="G795" s="177"/>
      <c r="H795" s="177"/>
      <c r="I795" s="177"/>
    </row>
    <row r="796" spans="3:9" x14ac:dyDescent="0.25">
      <c r="C796" s="177"/>
      <c r="D796" s="177"/>
      <c r="E796" s="177"/>
      <c r="F796" s="177"/>
      <c r="G796" s="177"/>
      <c r="H796" s="177"/>
      <c r="I796" s="177"/>
    </row>
    <row r="797" spans="3:9" x14ac:dyDescent="0.25">
      <c r="C797" s="177"/>
      <c r="D797" s="177"/>
      <c r="E797" s="177"/>
      <c r="F797" s="177"/>
      <c r="G797" s="177"/>
      <c r="H797" s="177"/>
      <c r="I797" s="177"/>
    </row>
    <row r="798" spans="3:9" x14ac:dyDescent="0.25">
      <c r="C798" s="177"/>
      <c r="D798" s="177"/>
      <c r="E798" s="177"/>
      <c r="F798" s="177"/>
      <c r="G798" s="177"/>
      <c r="H798" s="177"/>
      <c r="I798" s="177"/>
    </row>
    <row r="799" spans="3:9" x14ac:dyDescent="0.25">
      <c r="C799" s="177"/>
      <c r="D799" s="177"/>
      <c r="E799" s="177"/>
      <c r="F799" s="177"/>
      <c r="G799" s="177"/>
      <c r="H799" s="177"/>
      <c r="I799" s="177"/>
    </row>
    <row r="800" spans="3:9" x14ac:dyDescent="0.25">
      <c r="C800" s="177"/>
      <c r="D800" s="177"/>
      <c r="E800" s="177"/>
      <c r="F800" s="177"/>
      <c r="G800" s="177"/>
      <c r="H800" s="177"/>
      <c r="I800" s="177"/>
    </row>
    <row r="801" spans="3:9" x14ac:dyDescent="0.25">
      <c r="C801" s="177"/>
      <c r="D801" s="177"/>
      <c r="E801" s="177"/>
      <c r="F801" s="177"/>
      <c r="G801" s="177"/>
      <c r="H801" s="177"/>
      <c r="I801" s="177"/>
    </row>
    <row r="802" spans="3:9" x14ac:dyDescent="0.25">
      <c r="C802" s="177"/>
      <c r="D802" s="177"/>
      <c r="E802" s="177"/>
      <c r="F802" s="177"/>
      <c r="G802" s="177"/>
      <c r="H802" s="177"/>
      <c r="I802" s="177"/>
    </row>
    <row r="803" spans="3:9" x14ac:dyDescent="0.25">
      <c r="C803" s="177"/>
      <c r="D803" s="177"/>
      <c r="E803" s="177"/>
      <c r="F803" s="177"/>
      <c r="G803" s="177"/>
      <c r="H803" s="177"/>
      <c r="I803" s="177"/>
    </row>
    <row r="804" spans="3:9" x14ac:dyDescent="0.25">
      <c r="C804" s="177"/>
      <c r="D804" s="177"/>
      <c r="E804" s="177"/>
      <c r="F804" s="177"/>
      <c r="G804" s="177"/>
      <c r="H804" s="177"/>
      <c r="I804" s="177"/>
    </row>
    <row r="805" spans="3:9" x14ac:dyDescent="0.25">
      <c r="C805" s="177"/>
      <c r="D805" s="177"/>
      <c r="E805" s="177"/>
      <c r="F805" s="177"/>
      <c r="G805" s="177"/>
      <c r="H805" s="177"/>
      <c r="I805" s="177"/>
    </row>
    <row r="806" spans="3:9" x14ac:dyDescent="0.25">
      <c r="C806" s="177"/>
      <c r="D806" s="177"/>
      <c r="E806" s="177"/>
      <c r="F806" s="177"/>
      <c r="G806" s="177"/>
      <c r="H806" s="177"/>
      <c r="I806" s="177"/>
    </row>
    <row r="807" spans="3:9" x14ac:dyDescent="0.25">
      <c r="C807" s="177"/>
      <c r="D807" s="177"/>
      <c r="E807" s="177"/>
      <c r="F807" s="177"/>
      <c r="G807" s="177"/>
      <c r="H807" s="177"/>
      <c r="I807" s="177"/>
    </row>
    <row r="808" spans="3:9" x14ac:dyDescent="0.25">
      <c r="C808" s="177"/>
      <c r="D808" s="177"/>
      <c r="E808" s="177"/>
      <c r="F808" s="177"/>
      <c r="G808" s="177"/>
      <c r="H808" s="177"/>
      <c r="I808" s="177"/>
    </row>
    <row r="809" spans="3:9" x14ac:dyDescent="0.25">
      <c r="C809" s="177"/>
      <c r="D809" s="177"/>
      <c r="E809" s="177"/>
      <c r="F809" s="177"/>
      <c r="G809" s="177"/>
      <c r="H809" s="177"/>
      <c r="I809" s="177"/>
    </row>
    <row r="810" spans="3:9" x14ac:dyDescent="0.25">
      <c r="C810" s="177"/>
      <c r="D810" s="177"/>
      <c r="E810" s="177"/>
      <c r="F810" s="177"/>
      <c r="G810" s="177"/>
      <c r="H810" s="177"/>
      <c r="I810" s="177"/>
    </row>
    <row r="811" spans="3:9" x14ac:dyDescent="0.25">
      <c r="C811" s="177"/>
      <c r="D811" s="177"/>
      <c r="E811" s="177"/>
      <c r="F811" s="177"/>
      <c r="G811" s="177"/>
      <c r="H811" s="177"/>
      <c r="I811" s="177"/>
    </row>
    <row r="812" spans="3:9" x14ac:dyDescent="0.25">
      <c r="C812" s="177"/>
      <c r="D812" s="177"/>
      <c r="E812" s="177"/>
      <c r="F812" s="177"/>
      <c r="G812" s="177"/>
      <c r="H812" s="177"/>
      <c r="I812" s="177"/>
    </row>
    <row r="813" spans="3:9" x14ac:dyDescent="0.25">
      <c r="C813" s="177"/>
      <c r="D813" s="177"/>
      <c r="E813" s="177"/>
      <c r="F813" s="177"/>
      <c r="G813" s="177"/>
      <c r="H813" s="177"/>
      <c r="I813" s="177"/>
    </row>
    <row r="814" spans="3:9" x14ac:dyDescent="0.25">
      <c r="C814" s="177"/>
      <c r="D814" s="177"/>
      <c r="E814" s="177"/>
      <c r="F814" s="177"/>
      <c r="G814" s="177"/>
      <c r="H814" s="177"/>
      <c r="I814" s="177"/>
    </row>
    <row r="815" spans="3:9" x14ac:dyDescent="0.25">
      <c r="C815" s="177"/>
      <c r="D815" s="177"/>
      <c r="E815" s="177"/>
      <c r="F815" s="177"/>
      <c r="G815" s="177"/>
      <c r="H815" s="177"/>
      <c r="I815" s="177"/>
    </row>
    <row r="816" spans="3:9" x14ac:dyDescent="0.25">
      <c r="C816" s="177"/>
      <c r="D816" s="177"/>
      <c r="E816" s="177"/>
      <c r="F816" s="177"/>
      <c r="G816" s="177"/>
      <c r="H816" s="177"/>
      <c r="I816" s="177"/>
    </row>
    <row r="817" spans="3:9" x14ac:dyDescent="0.25">
      <c r="C817" s="177"/>
      <c r="D817" s="177"/>
      <c r="E817" s="177"/>
      <c r="F817" s="177"/>
      <c r="G817" s="177"/>
      <c r="H817" s="177"/>
      <c r="I817" s="177"/>
    </row>
    <row r="818" spans="3:9" x14ac:dyDescent="0.25">
      <c r="C818" s="177"/>
      <c r="D818" s="177"/>
      <c r="E818" s="177"/>
      <c r="F818" s="177"/>
      <c r="G818" s="177"/>
      <c r="H818" s="177"/>
      <c r="I818" s="177"/>
    </row>
    <row r="819" spans="3:9" x14ac:dyDescent="0.25">
      <c r="C819" s="177"/>
      <c r="D819" s="177"/>
      <c r="E819" s="177"/>
      <c r="F819" s="177"/>
      <c r="G819" s="177"/>
      <c r="H819" s="177"/>
      <c r="I819" s="177"/>
    </row>
    <row r="820" spans="3:9" x14ac:dyDescent="0.25">
      <c r="C820" s="177"/>
      <c r="D820" s="177"/>
      <c r="E820" s="177"/>
      <c r="F820" s="177"/>
      <c r="G820" s="177"/>
      <c r="H820" s="177"/>
      <c r="I820" s="177"/>
    </row>
    <row r="821" spans="3:9" x14ac:dyDescent="0.25">
      <c r="C821" s="177"/>
      <c r="D821" s="177"/>
      <c r="E821" s="177"/>
      <c r="F821" s="177"/>
      <c r="G821" s="177"/>
      <c r="H821" s="177"/>
      <c r="I821" s="177"/>
    </row>
    <row r="822" spans="3:9" x14ac:dyDescent="0.25">
      <c r="C822" s="177"/>
      <c r="D822" s="177"/>
      <c r="E822" s="177"/>
      <c r="F822" s="177"/>
      <c r="G822" s="177"/>
      <c r="H822" s="177"/>
      <c r="I822" s="177"/>
    </row>
    <row r="823" spans="3:9" x14ac:dyDescent="0.25">
      <c r="C823" s="177"/>
      <c r="D823" s="177"/>
      <c r="E823" s="177"/>
      <c r="F823" s="177"/>
      <c r="G823" s="177"/>
      <c r="H823" s="177"/>
      <c r="I823" s="177"/>
    </row>
    <row r="824" spans="3:9" x14ac:dyDescent="0.25">
      <c r="C824" s="177"/>
      <c r="D824" s="177"/>
      <c r="E824" s="177"/>
      <c r="F824" s="177"/>
      <c r="G824" s="177"/>
      <c r="H824" s="177"/>
      <c r="I824" s="177"/>
    </row>
    <row r="825" spans="3:9" x14ac:dyDescent="0.25">
      <c r="C825" s="177"/>
      <c r="D825" s="177"/>
      <c r="E825" s="177"/>
      <c r="F825" s="177"/>
      <c r="G825" s="177"/>
      <c r="H825" s="177"/>
      <c r="I825" s="177"/>
    </row>
    <row r="826" spans="3:9" x14ac:dyDescent="0.25">
      <c r="C826" s="177"/>
      <c r="D826" s="177"/>
      <c r="E826" s="177"/>
      <c r="F826" s="177"/>
      <c r="G826" s="177"/>
      <c r="H826" s="177"/>
      <c r="I826" s="177"/>
    </row>
    <row r="827" spans="3:9" x14ac:dyDescent="0.25">
      <c r="C827" s="177"/>
      <c r="D827" s="177"/>
      <c r="E827" s="177"/>
      <c r="F827" s="177"/>
      <c r="G827" s="177"/>
      <c r="H827" s="177"/>
      <c r="I827" s="177"/>
    </row>
    <row r="828" spans="3:9" x14ac:dyDescent="0.25">
      <c r="C828" s="177"/>
      <c r="D828" s="177"/>
      <c r="E828" s="177"/>
      <c r="F828" s="177"/>
      <c r="G828" s="177"/>
      <c r="H828" s="177"/>
      <c r="I828" s="177"/>
    </row>
    <row r="829" spans="3:9" x14ac:dyDescent="0.25">
      <c r="C829" s="177"/>
      <c r="D829" s="177"/>
      <c r="E829" s="177"/>
      <c r="F829" s="177"/>
      <c r="G829" s="177"/>
      <c r="H829" s="177"/>
      <c r="I829" s="177"/>
    </row>
    <row r="830" spans="3:9" x14ac:dyDescent="0.25">
      <c r="C830" s="177"/>
      <c r="D830" s="177"/>
      <c r="E830" s="177"/>
      <c r="F830" s="177"/>
      <c r="G830" s="177"/>
      <c r="H830" s="177"/>
      <c r="I830" s="177"/>
    </row>
    <row r="831" spans="3:9" x14ac:dyDescent="0.25">
      <c r="C831" s="177"/>
      <c r="D831" s="177"/>
      <c r="E831" s="177"/>
      <c r="F831" s="177"/>
      <c r="G831" s="177"/>
      <c r="H831" s="177"/>
      <c r="I831" s="177"/>
    </row>
    <row r="832" spans="3:9" x14ac:dyDescent="0.25">
      <c r="C832" s="177"/>
      <c r="D832" s="177"/>
      <c r="E832" s="177"/>
      <c r="F832" s="177"/>
      <c r="G832" s="177"/>
      <c r="H832" s="177"/>
      <c r="I832" s="177"/>
    </row>
    <row r="833" spans="3:9" x14ac:dyDescent="0.25">
      <c r="C833" s="177"/>
      <c r="D833" s="177"/>
      <c r="E833" s="177"/>
      <c r="F833" s="177"/>
      <c r="G833" s="177"/>
      <c r="H833" s="177"/>
      <c r="I833" s="177"/>
    </row>
    <row r="834" spans="3:9" x14ac:dyDescent="0.25">
      <c r="C834" s="177"/>
      <c r="D834" s="177"/>
      <c r="E834" s="177"/>
      <c r="F834" s="177"/>
      <c r="G834" s="177"/>
      <c r="H834" s="177"/>
      <c r="I834" s="177"/>
    </row>
    <row r="835" spans="3:9" x14ac:dyDescent="0.25">
      <c r="C835" s="177"/>
      <c r="D835" s="177"/>
      <c r="E835" s="177"/>
      <c r="F835" s="177"/>
      <c r="G835" s="177"/>
      <c r="H835" s="177"/>
      <c r="I835" s="177"/>
    </row>
    <row r="836" spans="3:9" x14ac:dyDescent="0.25">
      <c r="C836" s="177"/>
      <c r="D836" s="177"/>
      <c r="E836" s="177"/>
      <c r="F836" s="177"/>
      <c r="G836" s="177"/>
      <c r="H836" s="177"/>
      <c r="I836" s="177"/>
    </row>
    <row r="837" spans="3:9" x14ac:dyDescent="0.25">
      <c r="C837" s="177"/>
      <c r="D837" s="177"/>
      <c r="E837" s="177"/>
      <c r="F837" s="177"/>
      <c r="G837" s="177"/>
      <c r="H837" s="177"/>
      <c r="I837" s="177"/>
    </row>
    <row r="838" spans="3:9" x14ac:dyDescent="0.25">
      <c r="C838" s="177"/>
      <c r="D838" s="177"/>
      <c r="E838" s="177"/>
      <c r="F838" s="177"/>
      <c r="G838" s="177"/>
      <c r="H838" s="177"/>
      <c r="I838" s="177"/>
    </row>
    <row r="839" spans="3:9" x14ac:dyDescent="0.25">
      <c r="C839" s="177"/>
      <c r="D839" s="177"/>
      <c r="E839" s="177"/>
      <c r="F839" s="177"/>
      <c r="G839" s="177"/>
      <c r="H839" s="177"/>
      <c r="I839" s="177"/>
    </row>
    <row r="840" spans="3:9" x14ac:dyDescent="0.25">
      <c r="C840" s="177"/>
      <c r="D840" s="177"/>
      <c r="E840" s="177"/>
      <c r="F840" s="177"/>
      <c r="G840" s="177"/>
      <c r="H840" s="177"/>
      <c r="I840" s="177"/>
    </row>
    <row r="841" spans="3:9" x14ac:dyDescent="0.25">
      <c r="C841" s="177"/>
      <c r="D841" s="177"/>
      <c r="E841" s="177"/>
      <c r="F841" s="177"/>
      <c r="G841" s="177"/>
      <c r="H841" s="177"/>
      <c r="I841" s="177"/>
    </row>
    <row r="842" spans="3:9" x14ac:dyDescent="0.25">
      <c r="C842" s="177"/>
      <c r="D842" s="177"/>
      <c r="E842" s="177"/>
      <c r="F842" s="177"/>
      <c r="G842" s="177"/>
      <c r="H842" s="177"/>
      <c r="I842" s="177"/>
    </row>
    <row r="843" spans="3:9" x14ac:dyDescent="0.25">
      <c r="C843" s="177"/>
      <c r="D843" s="177"/>
      <c r="E843" s="177"/>
      <c r="F843" s="177"/>
      <c r="G843" s="177"/>
      <c r="H843" s="177"/>
      <c r="I843" s="177"/>
    </row>
    <row r="844" spans="3:9" x14ac:dyDescent="0.25">
      <c r="C844" s="177"/>
      <c r="D844" s="177"/>
      <c r="E844" s="177"/>
      <c r="F844" s="177"/>
      <c r="G844" s="177"/>
      <c r="H844" s="177"/>
      <c r="I844" s="177"/>
    </row>
    <row r="845" spans="3:9" x14ac:dyDescent="0.25">
      <c r="C845" s="177"/>
      <c r="D845" s="177"/>
      <c r="E845" s="177"/>
      <c r="F845" s="177"/>
      <c r="G845" s="177"/>
      <c r="H845" s="177"/>
      <c r="I845" s="177"/>
    </row>
    <row r="846" spans="3:9" x14ac:dyDescent="0.25">
      <c r="C846" s="177"/>
      <c r="D846" s="177"/>
      <c r="E846" s="177"/>
      <c r="F846" s="177"/>
      <c r="G846" s="177"/>
      <c r="H846" s="177"/>
      <c r="I846" s="177"/>
    </row>
    <row r="847" spans="3:9" x14ac:dyDescent="0.25">
      <c r="C847" s="177"/>
      <c r="D847" s="177"/>
      <c r="E847" s="177"/>
      <c r="F847" s="177"/>
      <c r="G847" s="177"/>
      <c r="H847" s="177"/>
      <c r="I847" s="177"/>
    </row>
    <row r="848" spans="3:9" x14ac:dyDescent="0.25">
      <c r="C848" s="177"/>
      <c r="D848" s="177"/>
      <c r="E848" s="177"/>
      <c r="F848" s="177"/>
      <c r="G848" s="177"/>
      <c r="H848" s="177"/>
      <c r="I848" s="177"/>
    </row>
    <row r="849" spans="3:9" x14ac:dyDescent="0.25">
      <c r="C849" s="177"/>
      <c r="D849" s="177"/>
      <c r="E849" s="177"/>
      <c r="F849" s="177"/>
      <c r="G849" s="177"/>
      <c r="H849" s="177"/>
      <c r="I849" s="177"/>
    </row>
    <row r="850" spans="3:9" x14ac:dyDescent="0.25">
      <c r="C850" s="177"/>
      <c r="D850" s="177"/>
      <c r="E850" s="177"/>
      <c r="F850" s="177"/>
      <c r="G850" s="177"/>
      <c r="H850" s="177"/>
      <c r="I850" s="177"/>
    </row>
    <row r="851" spans="3:9" x14ac:dyDescent="0.25">
      <c r="C851" s="177"/>
      <c r="D851" s="177"/>
      <c r="E851" s="177"/>
      <c r="F851" s="177"/>
      <c r="G851" s="177"/>
      <c r="H851" s="177"/>
      <c r="I851" s="177"/>
    </row>
    <row r="852" spans="3:9" x14ac:dyDescent="0.25">
      <c r="C852" s="177"/>
      <c r="D852" s="177"/>
      <c r="E852" s="177"/>
      <c r="F852" s="177"/>
      <c r="G852" s="177"/>
      <c r="H852" s="177"/>
      <c r="I852" s="177"/>
    </row>
    <row r="853" spans="3:9" x14ac:dyDescent="0.25">
      <c r="C853" s="177"/>
      <c r="D853" s="177"/>
      <c r="E853" s="177"/>
      <c r="F853" s="177"/>
      <c r="G853" s="177"/>
      <c r="H853" s="177"/>
      <c r="I853" s="177"/>
    </row>
    <row r="854" spans="3:9" x14ac:dyDescent="0.25">
      <c r="C854" s="177"/>
      <c r="D854" s="177"/>
      <c r="E854" s="177"/>
      <c r="F854" s="177"/>
      <c r="G854" s="177"/>
      <c r="H854" s="177"/>
      <c r="I854" s="177"/>
    </row>
    <row r="855" spans="3:9" x14ac:dyDescent="0.25">
      <c r="C855" s="177"/>
      <c r="D855" s="177"/>
      <c r="E855" s="177"/>
      <c r="F855" s="177"/>
      <c r="G855" s="177"/>
      <c r="H855" s="177"/>
      <c r="I855" s="177"/>
    </row>
    <row r="856" spans="3:9" x14ac:dyDescent="0.25">
      <c r="C856" s="177"/>
      <c r="D856" s="177"/>
      <c r="E856" s="177"/>
      <c r="F856" s="177"/>
      <c r="G856" s="177"/>
      <c r="H856" s="177"/>
      <c r="I856" s="177"/>
    </row>
    <row r="857" spans="3:9" x14ac:dyDescent="0.25">
      <c r="C857" s="177"/>
      <c r="D857" s="177"/>
      <c r="E857" s="177"/>
      <c r="F857" s="177"/>
      <c r="G857" s="177"/>
      <c r="H857" s="177"/>
      <c r="I857" s="177"/>
    </row>
    <row r="858" spans="3:9" x14ac:dyDescent="0.25">
      <c r="C858" s="177"/>
      <c r="D858" s="177"/>
      <c r="E858" s="177"/>
      <c r="F858" s="177"/>
      <c r="G858" s="177"/>
      <c r="H858" s="177"/>
      <c r="I858" s="177"/>
    </row>
    <row r="859" spans="3:9" x14ac:dyDescent="0.25">
      <c r="C859" s="177"/>
      <c r="D859" s="177"/>
      <c r="E859" s="177"/>
      <c r="F859" s="177"/>
      <c r="G859" s="177"/>
      <c r="H859" s="177"/>
      <c r="I859" s="177"/>
    </row>
    <row r="860" spans="3:9" x14ac:dyDescent="0.25">
      <c r="C860" s="177"/>
      <c r="D860" s="177"/>
      <c r="E860" s="177"/>
      <c r="F860" s="177"/>
      <c r="G860" s="177"/>
      <c r="H860" s="177"/>
      <c r="I860" s="177"/>
    </row>
    <row r="861" spans="3:9" x14ac:dyDescent="0.25">
      <c r="C861" s="177"/>
      <c r="D861" s="177"/>
      <c r="E861" s="177"/>
      <c r="F861" s="177"/>
      <c r="G861" s="177"/>
      <c r="H861" s="177"/>
      <c r="I861" s="177"/>
    </row>
    <row r="862" spans="3:9" x14ac:dyDescent="0.25">
      <c r="C862" s="177"/>
      <c r="D862" s="177"/>
      <c r="E862" s="177"/>
      <c r="F862" s="177"/>
      <c r="G862" s="177"/>
      <c r="H862" s="177"/>
      <c r="I862" s="177"/>
    </row>
    <row r="863" spans="3:9" x14ac:dyDescent="0.25">
      <c r="C863" s="177"/>
      <c r="D863" s="177"/>
      <c r="E863" s="177"/>
      <c r="F863" s="177"/>
      <c r="G863" s="177"/>
      <c r="H863" s="177"/>
      <c r="I863" s="177"/>
    </row>
    <row r="864" spans="3:9" x14ac:dyDescent="0.25">
      <c r="C864" s="177"/>
      <c r="D864" s="177"/>
      <c r="E864" s="177"/>
      <c r="F864" s="177"/>
      <c r="G864" s="177"/>
      <c r="H864" s="177"/>
      <c r="I864" s="177"/>
    </row>
    <row r="865" spans="3:9" x14ac:dyDescent="0.25">
      <c r="C865" s="177"/>
      <c r="D865" s="177"/>
      <c r="E865" s="177"/>
      <c r="F865" s="177"/>
      <c r="G865" s="177"/>
      <c r="H865" s="177"/>
      <c r="I865" s="177"/>
    </row>
    <row r="866" spans="3:9" x14ac:dyDescent="0.25">
      <c r="C866" s="177"/>
      <c r="D866" s="177"/>
      <c r="E866" s="177"/>
      <c r="F866" s="177"/>
      <c r="G866" s="177"/>
      <c r="H866" s="177"/>
      <c r="I866" s="177"/>
    </row>
    <row r="867" spans="3:9" x14ac:dyDescent="0.25">
      <c r="C867" s="177"/>
      <c r="D867" s="177"/>
      <c r="E867" s="177"/>
      <c r="F867" s="177"/>
      <c r="G867" s="177"/>
      <c r="H867" s="177"/>
      <c r="I867" s="177"/>
    </row>
    <row r="868" spans="3:9" x14ac:dyDescent="0.25">
      <c r="C868" s="177"/>
      <c r="D868" s="177"/>
      <c r="E868" s="177"/>
      <c r="F868" s="177"/>
      <c r="G868" s="177"/>
      <c r="H868" s="177"/>
      <c r="I868" s="177"/>
    </row>
    <row r="869" spans="3:9" x14ac:dyDescent="0.25">
      <c r="C869" s="177"/>
      <c r="D869" s="177"/>
      <c r="E869" s="177"/>
      <c r="F869" s="177"/>
      <c r="G869" s="177"/>
      <c r="H869" s="177"/>
      <c r="I869" s="177"/>
    </row>
    <row r="870" spans="3:9" x14ac:dyDescent="0.25">
      <c r="C870" s="177"/>
      <c r="D870" s="177"/>
      <c r="E870" s="177"/>
      <c r="F870" s="177"/>
      <c r="G870" s="177"/>
      <c r="H870" s="177"/>
      <c r="I870" s="177"/>
    </row>
    <row r="871" spans="3:9" x14ac:dyDescent="0.25">
      <c r="C871" s="177"/>
      <c r="D871" s="177"/>
      <c r="E871" s="177"/>
      <c r="F871" s="177"/>
      <c r="G871" s="177"/>
      <c r="H871" s="177"/>
      <c r="I871" s="177"/>
    </row>
    <row r="872" spans="3:9" x14ac:dyDescent="0.25">
      <c r="C872" s="177"/>
      <c r="D872" s="177"/>
      <c r="E872" s="177"/>
      <c r="F872" s="177"/>
      <c r="G872" s="177"/>
      <c r="H872" s="177"/>
      <c r="I872" s="177"/>
    </row>
    <row r="873" spans="3:9" x14ac:dyDescent="0.25">
      <c r="C873" s="177"/>
      <c r="D873" s="177"/>
      <c r="E873" s="177"/>
      <c r="F873" s="177"/>
      <c r="G873" s="177"/>
      <c r="H873" s="177"/>
      <c r="I873" s="177"/>
    </row>
    <row r="874" spans="3:9" x14ac:dyDescent="0.25">
      <c r="C874" s="177"/>
      <c r="D874" s="177"/>
      <c r="E874" s="177"/>
      <c r="F874" s="177"/>
      <c r="G874" s="177"/>
      <c r="H874" s="177"/>
      <c r="I874" s="177"/>
    </row>
    <row r="875" spans="3:9" x14ac:dyDescent="0.25">
      <c r="C875" s="177"/>
      <c r="D875" s="177"/>
      <c r="E875" s="177"/>
      <c r="F875" s="177"/>
      <c r="G875" s="177"/>
      <c r="H875" s="177"/>
      <c r="I875" s="177"/>
    </row>
    <row r="876" spans="3:9" x14ac:dyDescent="0.25">
      <c r="C876" s="177"/>
      <c r="D876" s="177"/>
      <c r="E876" s="177"/>
      <c r="F876" s="177"/>
      <c r="G876" s="177"/>
      <c r="H876" s="177"/>
      <c r="I876" s="177"/>
    </row>
    <row r="877" spans="3:9" x14ac:dyDescent="0.25">
      <c r="C877" s="177"/>
      <c r="D877" s="177"/>
      <c r="E877" s="177"/>
      <c r="F877" s="177"/>
      <c r="G877" s="177"/>
      <c r="H877" s="177"/>
      <c r="I877" s="177"/>
    </row>
    <row r="878" spans="3:9" x14ac:dyDescent="0.25">
      <c r="C878" s="177"/>
      <c r="D878" s="177"/>
      <c r="E878" s="177"/>
      <c r="F878" s="177"/>
      <c r="G878" s="177"/>
      <c r="H878" s="177"/>
      <c r="I878" s="177"/>
    </row>
    <row r="879" spans="3:9" x14ac:dyDescent="0.25">
      <c r="C879" s="177"/>
      <c r="D879" s="177"/>
      <c r="E879" s="177"/>
      <c r="F879" s="177"/>
      <c r="G879" s="177"/>
      <c r="H879" s="177"/>
      <c r="I879" s="177"/>
    </row>
    <row r="880" spans="3:9" x14ac:dyDescent="0.25">
      <c r="C880" s="177"/>
      <c r="D880" s="177"/>
      <c r="E880" s="177"/>
      <c r="F880" s="177"/>
      <c r="G880" s="177"/>
      <c r="H880" s="177"/>
      <c r="I880" s="177"/>
    </row>
    <row r="881" spans="3:9" x14ac:dyDescent="0.25">
      <c r="C881" s="177"/>
      <c r="D881" s="177"/>
      <c r="E881" s="177"/>
      <c r="F881" s="177"/>
      <c r="G881" s="177"/>
      <c r="H881" s="177"/>
      <c r="I881" s="177"/>
    </row>
    <row r="882" spans="3:9" x14ac:dyDescent="0.25">
      <c r="C882" s="177"/>
      <c r="D882" s="177"/>
      <c r="E882" s="177"/>
      <c r="F882" s="177"/>
      <c r="G882" s="177"/>
      <c r="H882" s="177"/>
      <c r="I882" s="177"/>
    </row>
    <row r="883" spans="3:9" x14ac:dyDescent="0.25">
      <c r="C883" s="177"/>
      <c r="D883" s="177"/>
      <c r="E883" s="177"/>
      <c r="F883" s="177"/>
      <c r="G883" s="177"/>
      <c r="H883" s="177"/>
      <c r="I883" s="177"/>
    </row>
    <row r="884" spans="3:9" x14ac:dyDescent="0.25">
      <c r="C884" s="177"/>
      <c r="D884" s="177"/>
      <c r="E884" s="177"/>
      <c r="F884" s="177"/>
      <c r="G884" s="177"/>
      <c r="H884" s="177"/>
      <c r="I884" s="177"/>
    </row>
    <row r="885" spans="3:9" x14ac:dyDescent="0.25">
      <c r="C885" s="177"/>
      <c r="D885" s="177"/>
      <c r="E885" s="177"/>
      <c r="F885" s="177"/>
      <c r="G885" s="177"/>
      <c r="H885" s="177"/>
      <c r="I885" s="177"/>
    </row>
    <row r="886" spans="3:9" x14ac:dyDescent="0.25">
      <c r="C886" s="177"/>
      <c r="D886" s="177"/>
      <c r="E886" s="177"/>
      <c r="F886" s="177"/>
      <c r="G886" s="177"/>
      <c r="H886" s="177"/>
      <c r="I886" s="177"/>
    </row>
    <row r="887" spans="3:9" x14ac:dyDescent="0.25">
      <c r="C887" s="177"/>
      <c r="D887" s="177"/>
      <c r="E887" s="177"/>
      <c r="F887" s="177"/>
      <c r="G887" s="177"/>
      <c r="H887" s="177"/>
      <c r="I887" s="177"/>
    </row>
    <row r="888" spans="3:9" x14ac:dyDescent="0.25">
      <c r="C888" s="177"/>
      <c r="D888" s="177"/>
      <c r="E888" s="177"/>
      <c r="F888" s="177"/>
      <c r="G888" s="177"/>
      <c r="H888" s="177"/>
      <c r="I888" s="177"/>
    </row>
    <row r="889" spans="3:9" x14ac:dyDescent="0.25">
      <c r="C889" s="177"/>
      <c r="D889" s="177"/>
      <c r="E889" s="177"/>
      <c r="F889" s="177"/>
      <c r="G889" s="177"/>
      <c r="H889" s="177"/>
      <c r="I889" s="177"/>
    </row>
    <row r="890" spans="3:9" x14ac:dyDescent="0.25">
      <c r="C890" s="177"/>
      <c r="D890" s="177"/>
      <c r="E890" s="177"/>
      <c r="F890" s="177"/>
      <c r="G890" s="177"/>
      <c r="H890" s="177"/>
      <c r="I890" s="177"/>
    </row>
    <row r="891" spans="3:9" x14ac:dyDescent="0.25">
      <c r="C891" s="177"/>
      <c r="D891" s="177"/>
      <c r="E891" s="177"/>
      <c r="F891" s="177"/>
      <c r="G891" s="177"/>
      <c r="H891" s="177"/>
      <c r="I891" s="177"/>
    </row>
    <row r="892" spans="3:9" x14ac:dyDescent="0.25">
      <c r="C892" s="177"/>
      <c r="D892" s="177"/>
      <c r="E892" s="177"/>
      <c r="F892" s="177"/>
      <c r="G892" s="177"/>
      <c r="H892" s="177"/>
      <c r="I892" s="177"/>
    </row>
    <row r="893" spans="3:9" x14ac:dyDescent="0.25">
      <c r="C893" s="177"/>
      <c r="D893" s="177"/>
      <c r="E893" s="177"/>
      <c r="F893" s="177"/>
      <c r="G893" s="177"/>
      <c r="H893" s="177"/>
      <c r="I893" s="177"/>
    </row>
    <row r="894" spans="3:9" x14ac:dyDescent="0.25">
      <c r="C894" s="177"/>
      <c r="D894" s="177"/>
      <c r="E894" s="177"/>
      <c r="F894" s="177"/>
      <c r="G894" s="177"/>
      <c r="H894" s="177"/>
      <c r="I894" s="177"/>
    </row>
    <row r="895" spans="3:9" x14ac:dyDescent="0.25">
      <c r="C895" s="177"/>
      <c r="D895" s="177"/>
      <c r="E895" s="177"/>
      <c r="F895" s="177"/>
      <c r="G895" s="177"/>
      <c r="H895" s="177"/>
      <c r="I895" s="177"/>
    </row>
    <row r="896" spans="3:9" x14ac:dyDescent="0.25">
      <c r="C896" s="177"/>
      <c r="D896" s="177"/>
      <c r="E896" s="177"/>
      <c r="F896" s="177"/>
      <c r="G896" s="177"/>
      <c r="H896" s="177"/>
      <c r="I896" s="177"/>
    </row>
    <row r="897" spans="3:9" x14ac:dyDescent="0.25">
      <c r="C897" s="177"/>
      <c r="D897" s="177"/>
      <c r="E897" s="177"/>
      <c r="F897" s="177"/>
      <c r="G897" s="177"/>
      <c r="H897" s="177"/>
      <c r="I897" s="177"/>
    </row>
    <row r="898" spans="3:9" x14ac:dyDescent="0.25">
      <c r="C898" s="177"/>
      <c r="D898" s="177"/>
      <c r="E898" s="177"/>
      <c r="F898" s="177"/>
      <c r="G898" s="177"/>
      <c r="H898" s="177"/>
      <c r="I898" s="177"/>
    </row>
    <row r="899" spans="3:9" x14ac:dyDescent="0.25">
      <c r="C899" s="177"/>
      <c r="D899" s="177"/>
      <c r="E899" s="177"/>
      <c r="F899" s="177"/>
      <c r="G899" s="177"/>
      <c r="H899" s="177"/>
      <c r="I899" s="177"/>
    </row>
    <row r="900" spans="3:9" x14ac:dyDescent="0.25">
      <c r="C900" s="177"/>
      <c r="D900" s="177"/>
      <c r="E900" s="177"/>
      <c r="F900" s="177"/>
      <c r="G900" s="177"/>
      <c r="H900" s="177"/>
      <c r="I900" s="177"/>
    </row>
    <row r="901" spans="3:9" x14ac:dyDescent="0.25">
      <c r="C901" s="177"/>
      <c r="D901" s="177"/>
      <c r="E901" s="177"/>
      <c r="F901" s="177"/>
      <c r="G901" s="177"/>
      <c r="H901" s="177"/>
      <c r="I901" s="177"/>
    </row>
    <row r="902" spans="3:9" x14ac:dyDescent="0.25">
      <c r="C902" s="177"/>
      <c r="D902" s="177"/>
      <c r="E902" s="177"/>
      <c r="F902" s="177"/>
      <c r="G902" s="177"/>
      <c r="H902" s="177"/>
      <c r="I902" s="177"/>
    </row>
    <row r="903" spans="3:9" x14ac:dyDescent="0.25">
      <c r="C903" s="177"/>
      <c r="D903" s="177"/>
      <c r="E903" s="177"/>
      <c r="F903" s="177"/>
      <c r="G903" s="177"/>
      <c r="H903" s="177"/>
      <c r="I903" s="177"/>
    </row>
    <row r="904" spans="3:9" x14ac:dyDescent="0.25">
      <c r="C904" s="177"/>
      <c r="D904" s="177"/>
      <c r="E904" s="177"/>
      <c r="F904" s="177"/>
      <c r="G904" s="177"/>
      <c r="H904" s="177"/>
      <c r="I904" s="177"/>
    </row>
    <row r="905" spans="3:9" x14ac:dyDescent="0.25">
      <c r="C905" s="177"/>
      <c r="D905" s="177"/>
      <c r="E905" s="177"/>
      <c r="F905" s="177"/>
      <c r="G905" s="177"/>
      <c r="H905" s="177"/>
      <c r="I905" s="177"/>
    </row>
    <row r="906" spans="3:9" x14ac:dyDescent="0.25">
      <c r="C906" s="177"/>
      <c r="D906" s="177"/>
      <c r="E906" s="177"/>
      <c r="F906" s="177"/>
      <c r="G906" s="177"/>
      <c r="H906" s="177"/>
      <c r="I906" s="177"/>
    </row>
    <row r="907" spans="3:9" x14ac:dyDescent="0.25">
      <c r="C907" s="177"/>
      <c r="D907" s="177"/>
      <c r="E907" s="177"/>
      <c r="F907" s="177"/>
      <c r="G907" s="177"/>
      <c r="H907" s="177"/>
      <c r="I907" s="177"/>
    </row>
    <row r="908" spans="3:9" x14ac:dyDescent="0.25">
      <c r="C908" s="177"/>
      <c r="D908" s="177"/>
      <c r="E908" s="177"/>
      <c r="F908" s="177"/>
      <c r="G908" s="177"/>
      <c r="H908" s="177"/>
      <c r="I908" s="177"/>
    </row>
    <row r="909" spans="3:9" x14ac:dyDescent="0.25">
      <c r="C909" s="177"/>
      <c r="D909" s="177"/>
      <c r="E909" s="177"/>
      <c r="F909" s="177"/>
      <c r="G909" s="177"/>
      <c r="H909" s="177"/>
      <c r="I909" s="177"/>
    </row>
    <row r="910" spans="3:9" x14ac:dyDescent="0.25">
      <c r="C910" s="177"/>
      <c r="D910" s="177"/>
      <c r="E910" s="177"/>
      <c r="F910" s="177"/>
      <c r="G910" s="177"/>
      <c r="H910" s="177"/>
      <c r="I910" s="177"/>
    </row>
    <row r="911" spans="3:9" x14ac:dyDescent="0.25">
      <c r="C911" s="177"/>
      <c r="D911" s="177"/>
      <c r="E911" s="177"/>
      <c r="F911" s="177"/>
      <c r="G911" s="177"/>
      <c r="H911" s="177"/>
      <c r="I911" s="177"/>
    </row>
    <row r="912" spans="3:9" x14ac:dyDescent="0.25">
      <c r="C912" s="177"/>
      <c r="D912" s="177"/>
      <c r="E912" s="177"/>
      <c r="F912" s="177"/>
      <c r="G912" s="177"/>
      <c r="H912" s="177"/>
      <c r="I912" s="177"/>
    </row>
    <row r="913" spans="3:9" x14ac:dyDescent="0.25">
      <c r="C913" s="177"/>
      <c r="D913" s="177"/>
      <c r="E913" s="177"/>
      <c r="F913" s="177"/>
      <c r="G913" s="177"/>
      <c r="H913" s="177"/>
      <c r="I913" s="177"/>
    </row>
    <row r="914" spans="3:9" x14ac:dyDescent="0.25">
      <c r="C914" s="177"/>
      <c r="D914" s="177"/>
      <c r="E914" s="177"/>
      <c r="F914" s="177"/>
      <c r="G914" s="177"/>
      <c r="H914" s="177"/>
      <c r="I914" s="177"/>
    </row>
    <row r="915" spans="3:9" x14ac:dyDescent="0.25">
      <c r="C915" s="177"/>
      <c r="D915" s="177"/>
      <c r="E915" s="177"/>
      <c r="F915" s="177"/>
      <c r="G915" s="177"/>
      <c r="H915" s="177"/>
      <c r="I915" s="177"/>
    </row>
    <row r="916" spans="3:9" x14ac:dyDescent="0.25">
      <c r="C916" s="177"/>
      <c r="D916" s="177"/>
      <c r="E916" s="177"/>
      <c r="F916" s="177"/>
      <c r="G916" s="177"/>
      <c r="H916" s="177"/>
      <c r="I916" s="177"/>
    </row>
    <row r="917" spans="3:9" x14ac:dyDescent="0.25">
      <c r="C917" s="177"/>
      <c r="D917" s="177"/>
      <c r="E917" s="177"/>
      <c r="F917" s="177"/>
      <c r="G917" s="177"/>
      <c r="H917" s="177"/>
      <c r="I917" s="177"/>
    </row>
    <row r="918" spans="3:9" x14ac:dyDescent="0.25">
      <c r="C918" s="177"/>
      <c r="D918" s="177"/>
      <c r="E918" s="177"/>
      <c r="F918" s="177"/>
      <c r="G918" s="177"/>
      <c r="H918" s="177"/>
      <c r="I918" s="177"/>
    </row>
    <row r="919" spans="3:9" x14ac:dyDescent="0.25">
      <c r="C919" s="177"/>
      <c r="D919" s="177"/>
      <c r="E919" s="177"/>
      <c r="F919" s="177"/>
      <c r="G919" s="177"/>
      <c r="H919" s="177"/>
      <c r="I919" s="177"/>
    </row>
    <row r="920" spans="3:9" x14ac:dyDescent="0.25">
      <c r="C920" s="177"/>
      <c r="D920" s="177"/>
      <c r="E920" s="177"/>
      <c r="F920" s="177"/>
      <c r="G920" s="177"/>
      <c r="H920" s="177"/>
      <c r="I920" s="177"/>
    </row>
    <row r="921" spans="3:9" x14ac:dyDescent="0.25">
      <c r="C921" s="177"/>
      <c r="D921" s="177"/>
      <c r="E921" s="177"/>
      <c r="F921" s="177"/>
      <c r="G921" s="177"/>
      <c r="H921" s="177"/>
      <c r="I921" s="177"/>
    </row>
    <row r="922" spans="3:9" x14ac:dyDescent="0.25">
      <c r="C922" s="177"/>
      <c r="D922" s="177"/>
      <c r="E922" s="177"/>
      <c r="F922" s="177"/>
      <c r="G922" s="177"/>
      <c r="H922" s="177"/>
      <c r="I922" s="177"/>
    </row>
    <row r="923" spans="3:9" x14ac:dyDescent="0.25">
      <c r="C923" s="177"/>
      <c r="D923" s="177"/>
      <c r="E923" s="177"/>
      <c r="F923" s="177"/>
      <c r="G923" s="177"/>
      <c r="H923" s="177"/>
      <c r="I923" s="177"/>
    </row>
    <row r="924" spans="3:9" x14ac:dyDescent="0.25">
      <c r="C924" s="177"/>
      <c r="D924" s="177"/>
      <c r="E924" s="177"/>
      <c r="F924" s="177"/>
      <c r="G924" s="177"/>
      <c r="H924" s="177"/>
      <c r="I924" s="177"/>
    </row>
    <row r="925" spans="3:9" x14ac:dyDescent="0.25">
      <c r="C925" s="177"/>
      <c r="D925" s="177"/>
      <c r="E925" s="177"/>
      <c r="F925" s="177"/>
      <c r="G925" s="177"/>
      <c r="H925" s="177"/>
      <c r="I925" s="177"/>
    </row>
    <row r="926" spans="3:9" x14ac:dyDescent="0.25">
      <c r="C926" s="177"/>
      <c r="D926" s="177"/>
      <c r="E926" s="177"/>
      <c r="F926" s="177"/>
      <c r="G926" s="177"/>
      <c r="H926" s="177"/>
      <c r="I926" s="177"/>
    </row>
    <row r="927" spans="3:9" x14ac:dyDescent="0.25">
      <c r="C927" s="177"/>
      <c r="D927" s="177"/>
      <c r="E927" s="177"/>
      <c r="F927" s="177"/>
      <c r="G927" s="177"/>
      <c r="H927" s="177"/>
      <c r="I927" s="177"/>
    </row>
    <row r="928" spans="3:9" x14ac:dyDescent="0.25">
      <c r="C928" s="177"/>
      <c r="D928" s="177"/>
      <c r="E928" s="177"/>
      <c r="F928" s="177"/>
      <c r="G928" s="177"/>
      <c r="H928" s="177"/>
      <c r="I928" s="177"/>
    </row>
    <row r="929" spans="3:9" x14ac:dyDescent="0.25">
      <c r="C929" s="177"/>
      <c r="D929" s="177"/>
      <c r="E929" s="177"/>
      <c r="F929" s="177"/>
      <c r="G929" s="177"/>
      <c r="H929" s="177"/>
      <c r="I929" s="177"/>
    </row>
    <row r="930" spans="3:9" x14ac:dyDescent="0.25">
      <c r="C930" s="177"/>
      <c r="D930" s="177"/>
      <c r="E930" s="177"/>
      <c r="F930" s="177"/>
      <c r="G930" s="177"/>
      <c r="H930" s="177"/>
      <c r="I930" s="177"/>
    </row>
    <row r="931" spans="3:9" x14ac:dyDescent="0.25">
      <c r="C931" s="177"/>
      <c r="D931" s="177"/>
      <c r="E931" s="177"/>
      <c r="F931" s="177"/>
      <c r="G931" s="177"/>
      <c r="H931" s="177"/>
      <c r="I931" s="177"/>
    </row>
    <row r="932" spans="3:9" x14ac:dyDescent="0.25">
      <c r="C932" s="177"/>
      <c r="D932" s="177"/>
      <c r="E932" s="177"/>
      <c r="F932" s="177"/>
      <c r="G932" s="177"/>
      <c r="H932" s="177"/>
      <c r="I932" s="177"/>
    </row>
    <row r="933" spans="3:9" x14ac:dyDescent="0.25">
      <c r="C933" s="177"/>
      <c r="D933" s="177"/>
      <c r="E933" s="177"/>
      <c r="F933" s="177"/>
      <c r="G933" s="177"/>
      <c r="H933" s="177"/>
      <c r="I933" s="177"/>
    </row>
    <row r="934" spans="3:9" x14ac:dyDescent="0.25">
      <c r="C934" s="177"/>
      <c r="D934" s="177"/>
      <c r="E934" s="177"/>
      <c r="F934" s="177"/>
      <c r="G934" s="177"/>
      <c r="H934" s="177"/>
      <c r="I934" s="177"/>
    </row>
    <row r="935" spans="3:9" x14ac:dyDescent="0.25">
      <c r="C935" s="177"/>
      <c r="D935" s="177"/>
      <c r="E935" s="177"/>
      <c r="F935" s="177"/>
      <c r="G935" s="177"/>
      <c r="H935" s="177"/>
      <c r="I935" s="177"/>
    </row>
    <row r="936" spans="3:9" x14ac:dyDescent="0.25">
      <c r="C936" s="177"/>
      <c r="D936" s="177"/>
      <c r="E936" s="177"/>
      <c r="F936" s="177"/>
      <c r="G936" s="177"/>
      <c r="H936" s="177"/>
      <c r="I936" s="177"/>
    </row>
    <row r="937" spans="3:9" x14ac:dyDescent="0.25">
      <c r="C937" s="177"/>
      <c r="D937" s="177"/>
      <c r="E937" s="177"/>
      <c r="F937" s="177"/>
      <c r="G937" s="177"/>
      <c r="H937" s="177"/>
      <c r="I937" s="177"/>
    </row>
    <row r="938" spans="3:9" x14ac:dyDescent="0.25">
      <c r="C938" s="177"/>
      <c r="D938" s="177"/>
      <c r="E938" s="177"/>
      <c r="F938" s="177"/>
      <c r="G938" s="177"/>
      <c r="H938" s="177"/>
      <c r="I938" s="177"/>
    </row>
    <row r="939" spans="3:9" x14ac:dyDescent="0.25">
      <c r="C939" s="177"/>
      <c r="D939" s="177"/>
      <c r="E939" s="177"/>
      <c r="F939" s="177"/>
      <c r="G939" s="177"/>
      <c r="H939" s="177"/>
      <c r="I939" s="177"/>
    </row>
    <row r="940" spans="3:9" x14ac:dyDescent="0.25">
      <c r="C940" s="177"/>
      <c r="D940" s="177"/>
      <c r="E940" s="177"/>
      <c r="F940" s="177"/>
      <c r="G940" s="177"/>
      <c r="H940" s="177"/>
      <c r="I940" s="177"/>
    </row>
    <row r="941" spans="3:9" x14ac:dyDescent="0.25">
      <c r="C941" s="177"/>
      <c r="D941" s="177"/>
      <c r="E941" s="177"/>
      <c r="F941" s="177"/>
      <c r="G941" s="177"/>
      <c r="H941" s="177"/>
      <c r="I941" s="177"/>
    </row>
    <row r="942" spans="3:9" x14ac:dyDescent="0.25">
      <c r="C942" s="177"/>
      <c r="D942" s="177"/>
      <c r="E942" s="177"/>
      <c r="F942" s="177"/>
      <c r="G942" s="177"/>
      <c r="H942" s="177"/>
      <c r="I942" s="177"/>
    </row>
    <row r="943" spans="3:9" x14ac:dyDescent="0.25">
      <c r="C943" s="177"/>
      <c r="D943" s="177"/>
      <c r="E943" s="177"/>
      <c r="F943" s="177"/>
      <c r="G943" s="177"/>
      <c r="H943" s="177"/>
      <c r="I943" s="177"/>
    </row>
    <row r="944" spans="3:9" x14ac:dyDescent="0.25">
      <c r="C944" s="177"/>
      <c r="D944" s="177"/>
      <c r="E944" s="177"/>
      <c r="F944" s="177"/>
      <c r="G944" s="177"/>
      <c r="H944" s="177"/>
      <c r="I944" s="177"/>
    </row>
    <row r="945" spans="3:9" x14ac:dyDescent="0.25">
      <c r="C945" s="177"/>
      <c r="D945" s="177"/>
      <c r="E945" s="177"/>
      <c r="F945" s="177"/>
      <c r="G945" s="177"/>
      <c r="H945" s="177"/>
      <c r="I945" s="177"/>
    </row>
    <row r="946" spans="3:9" x14ac:dyDescent="0.25">
      <c r="C946" s="177"/>
      <c r="D946" s="177"/>
      <c r="E946" s="177"/>
      <c r="F946" s="177"/>
      <c r="G946" s="177"/>
      <c r="H946" s="177"/>
      <c r="I946" s="177"/>
    </row>
    <row r="947" spans="3:9" x14ac:dyDescent="0.25">
      <c r="C947" s="177"/>
      <c r="D947" s="177"/>
      <c r="E947" s="177"/>
      <c r="F947" s="177"/>
      <c r="G947" s="177"/>
      <c r="H947" s="177"/>
      <c r="I947" s="177"/>
    </row>
    <row r="948" spans="3:9" x14ac:dyDescent="0.25">
      <c r="C948" s="177"/>
      <c r="D948" s="177"/>
      <c r="E948" s="177"/>
      <c r="F948" s="177"/>
      <c r="G948" s="177"/>
      <c r="H948" s="177"/>
      <c r="I948" s="177"/>
    </row>
    <row r="949" spans="3:9" x14ac:dyDescent="0.25">
      <c r="C949" s="177"/>
      <c r="D949" s="177"/>
      <c r="E949" s="177"/>
      <c r="F949" s="177"/>
      <c r="G949" s="177"/>
      <c r="H949" s="177"/>
      <c r="I949" s="177"/>
    </row>
    <row r="950" spans="3:9" x14ac:dyDescent="0.25">
      <c r="C950" s="177"/>
      <c r="D950" s="177"/>
      <c r="E950" s="177"/>
      <c r="F950" s="177"/>
      <c r="G950" s="177"/>
      <c r="H950" s="177"/>
      <c r="I950" s="177"/>
    </row>
    <row r="951" spans="3:9" x14ac:dyDescent="0.25">
      <c r="C951" s="177"/>
      <c r="D951" s="177"/>
      <c r="E951" s="177"/>
      <c r="F951" s="177"/>
      <c r="G951" s="177"/>
      <c r="H951" s="177"/>
      <c r="I951" s="177"/>
    </row>
    <row r="952" spans="3:9" x14ac:dyDescent="0.25">
      <c r="C952" s="177"/>
      <c r="D952" s="177"/>
      <c r="E952" s="177"/>
      <c r="F952" s="177"/>
      <c r="G952" s="177"/>
      <c r="H952" s="177"/>
      <c r="I952" s="177"/>
    </row>
    <row r="953" spans="3:9" x14ac:dyDescent="0.25">
      <c r="C953" s="177"/>
      <c r="D953" s="177"/>
      <c r="E953" s="177"/>
      <c r="F953" s="177"/>
      <c r="G953" s="177"/>
      <c r="H953" s="177"/>
      <c r="I953" s="177"/>
    </row>
    <row r="954" spans="3:9" x14ac:dyDescent="0.25">
      <c r="C954" s="177"/>
      <c r="D954" s="177"/>
      <c r="E954" s="177"/>
      <c r="F954" s="177"/>
      <c r="G954" s="177"/>
      <c r="H954" s="177"/>
      <c r="I954" s="177"/>
    </row>
    <row r="955" spans="3:9" x14ac:dyDescent="0.25">
      <c r="C955" s="177"/>
      <c r="D955" s="177"/>
      <c r="E955" s="177"/>
      <c r="F955" s="177"/>
      <c r="G955" s="177"/>
      <c r="H955" s="177"/>
      <c r="I955" s="177"/>
    </row>
    <row r="956" spans="3:9" x14ac:dyDescent="0.25">
      <c r="C956" s="177"/>
      <c r="D956" s="177"/>
      <c r="E956" s="177"/>
      <c r="F956" s="177"/>
      <c r="G956" s="177"/>
      <c r="H956" s="177"/>
      <c r="I956" s="177"/>
    </row>
    <row r="957" spans="3:9" x14ac:dyDescent="0.25">
      <c r="C957" s="177"/>
      <c r="D957" s="177"/>
      <c r="E957" s="177"/>
      <c r="F957" s="177"/>
      <c r="G957" s="177"/>
      <c r="H957" s="177"/>
      <c r="I957" s="177"/>
    </row>
    <row r="958" spans="3:9" x14ac:dyDescent="0.25">
      <c r="C958" s="177"/>
      <c r="D958" s="177"/>
      <c r="E958" s="177"/>
      <c r="F958" s="177"/>
      <c r="G958" s="177"/>
      <c r="H958" s="177"/>
      <c r="I958" s="177"/>
    </row>
    <row r="959" spans="3:9" x14ac:dyDescent="0.25">
      <c r="C959" s="177"/>
      <c r="D959" s="177"/>
      <c r="E959" s="177"/>
      <c r="F959" s="177"/>
      <c r="G959" s="177"/>
      <c r="H959" s="177"/>
      <c r="I959" s="177"/>
    </row>
    <row r="960" spans="3:9" x14ac:dyDescent="0.25">
      <c r="C960" s="177"/>
      <c r="D960" s="177"/>
      <c r="E960" s="177"/>
      <c r="F960" s="177"/>
      <c r="G960" s="177"/>
      <c r="H960" s="177"/>
      <c r="I960" s="177"/>
    </row>
    <row r="961" spans="3:9" x14ac:dyDescent="0.25">
      <c r="C961" s="177"/>
      <c r="D961" s="177"/>
      <c r="E961" s="177"/>
      <c r="F961" s="177"/>
      <c r="G961" s="177"/>
      <c r="H961" s="177"/>
      <c r="I961" s="177"/>
    </row>
    <row r="962" spans="3:9" x14ac:dyDescent="0.25">
      <c r="C962" s="177"/>
      <c r="D962" s="177"/>
      <c r="E962" s="177"/>
      <c r="F962" s="177"/>
      <c r="G962" s="177"/>
      <c r="H962" s="177"/>
      <c r="I962" s="177"/>
    </row>
    <row r="963" spans="3:9" x14ac:dyDescent="0.25">
      <c r="C963" s="177"/>
      <c r="D963" s="177"/>
      <c r="E963" s="177"/>
      <c r="F963" s="177"/>
      <c r="G963" s="177"/>
      <c r="H963" s="177"/>
      <c r="I963" s="177"/>
    </row>
    <row r="964" spans="3:9" x14ac:dyDescent="0.25">
      <c r="C964" s="177"/>
      <c r="D964" s="177"/>
      <c r="E964" s="177"/>
      <c r="F964" s="177"/>
      <c r="G964" s="177"/>
      <c r="H964" s="177"/>
      <c r="I964" s="177"/>
    </row>
    <row r="965" spans="3:9" x14ac:dyDescent="0.25">
      <c r="C965" s="177"/>
      <c r="D965" s="177"/>
      <c r="E965" s="177"/>
      <c r="F965" s="177"/>
      <c r="G965" s="177"/>
      <c r="H965" s="177"/>
      <c r="I965" s="177"/>
    </row>
    <row r="966" spans="3:9" x14ac:dyDescent="0.25">
      <c r="C966" s="177"/>
      <c r="D966" s="177"/>
      <c r="E966" s="177"/>
      <c r="F966" s="177"/>
      <c r="G966" s="177"/>
      <c r="H966" s="177"/>
      <c r="I966" s="177"/>
    </row>
    <row r="967" spans="3:9" x14ac:dyDescent="0.25">
      <c r="C967" s="177"/>
      <c r="D967" s="177"/>
      <c r="E967" s="177"/>
      <c r="F967" s="177"/>
      <c r="G967" s="177"/>
      <c r="H967" s="177"/>
      <c r="I967" s="177"/>
    </row>
    <row r="968" spans="3:9" x14ac:dyDescent="0.25">
      <c r="C968" s="177"/>
      <c r="D968" s="177"/>
      <c r="E968" s="177"/>
      <c r="F968" s="177"/>
      <c r="G968" s="177"/>
      <c r="H968" s="177"/>
      <c r="I968" s="177"/>
    </row>
    <row r="969" spans="3:9" x14ac:dyDescent="0.25">
      <c r="C969" s="177"/>
      <c r="D969" s="177"/>
      <c r="E969" s="177"/>
      <c r="F969" s="177"/>
      <c r="G969" s="177"/>
      <c r="H969" s="177"/>
      <c r="I969" s="177"/>
    </row>
    <row r="970" spans="3:9" x14ac:dyDescent="0.25">
      <c r="C970" s="177"/>
      <c r="D970" s="177"/>
      <c r="E970" s="177"/>
      <c r="F970" s="177"/>
      <c r="G970" s="177"/>
      <c r="H970" s="177"/>
      <c r="I970" s="177"/>
    </row>
    <row r="971" spans="3:9" x14ac:dyDescent="0.25">
      <c r="C971" s="177"/>
      <c r="D971" s="177"/>
      <c r="E971" s="177"/>
      <c r="F971" s="177"/>
      <c r="G971" s="177"/>
      <c r="H971" s="177"/>
      <c r="I971" s="177"/>
    </row>
    <row r="972" spans="3:9" x14ac:dyDescent="0.25">
      <c r="C972" s="177"/>
      <c r="D972" s="177"/>
      <c r="E972" s="177"/>
      <c r="F972" s="177"/>
      <c r="G972" s="177"/>
      <c r="H972" s="177"/>
      <c r="I972" s="177"/>
    </row>
    <row r="973" spans="3:9" x14ac:dyDescent="0.25">
      <c r="C973" s="177"/>
      <c r="D973" s="177"/>
      <c r="E973" s="177"/>
      <c r="F973" s="177"/>
      <c r="G973" s="177"/>
      <c r="H973" s="177"/>
      <c r="I973" s="177"/>
    </row>
    <row r="974" spans="3:9" x14ac:dyDescent="0.25">
      <c r="C974" s="177"/>
      <c r="D974" s="177"/>
      <c r="E974" s="177"/>
      <c r="F974" s="177"/>
      <c r="G974" s="177"/>
      <c r="H974" s="177"/>
      <c r="I974" s="177"/>
    </row>
    <row r="975" spans="3:9" x14ac:dyDescent="0.25">
      <c r="C975" s="177"/>
      <c r="D975" s="177"/>
      <c r="E975" s="177"/>
      <c r="F975" s="177"/>
      <c r="G975" s="177"/>
      <c r="H975" s="177"/>
      <c r="I975" s="177"/>
    </row>
    <row r="976" spans="3:9" x14ac:dyDescent="0.25">
      <c r="C976" s="177"/>
      <c r="D976" s="177"/>
      <c r="E976" s="177"/>
      <c r="F976" s="177"/>
      <c r="G976" s="177"/>
      <c r="H976" s="177"/>
      <c r="I976" s="177"/>
    </row>
    <row r="977" spans="3:9" x14ac:dyDescent="0.25">
      <c r="C977" s="177"/>
      <c r="D977" s="177"/>
      <c r="E977" s="177"/>
      <c r="F977" s="177"/>
      <c r="G977" s="177"/>
      <c r="H977" s="177"/>
      <c r="I977" s="177"/>
    </row>
    <row r="978" spans="3:9" x14ac:dyDescent="0.25">
      <c r="C978" s="177"/>
      <c r="D978" s="177"/>
      <c r="E978" s="177"/>
      <c r="F978" s="177"/>
      <c r="G978" s="177"/>
      <c r="H978" s="177"/>
      <c r="I978" s="177"/>
    </row>
    <row r="979" spans="3:9" x14ac:dyDescent="0.25">
      <c r="C979" s="177"/>
      <c r="D979" s="177"/>
      <c r="E979" s="177"/>
      <c r="F979" s="177"/>
      <c r="G979" s="177"/>
      <c r="H979" s="177"/>
      <c r="I979" s="177"/>
    </row>
    <row r="980" spans="3:9" x14ac:dyDescent="0.25">
      <c r="C980" s="177"/>
      <c r="D980" s="177"/>
      <c r="E980" s="177"/>
      <c r="F980" s="177"/>
      <c r="G980" s="177"/>
      <c r="H980" s="177"/>
      <c r="I980" s="177"/>
    </row>
    <row r="981" spans="3:9" x14ac:dyDescent="0.25">
      <c r="C981" s="177"/>
      <c r="D981" s="177"/>
      <c r="E981" s="177"/>
      <c r="F981" s="177"/>
      <c r="G981" s="177"/>
      <c r="H981" s="177"/>
      <c r="I981" s="177"/>
    </row>
    <row r="982" spans="3:9" x14ac:dyDescent="0.25">
      <c r="C982" s="177"/>
      <c r="D982" s="177"/>
      <c r="E982" s="177"/>
      <c r="F982" s="177"/>
      <c r="G982" s="177"/>
      <c r="H982" s="177"/>
      <c r="I982" s="177"/>
    </row>
    <row r="983" spans="3:9" x14ac:dyDescent="0.25">
      <c r="C983" s="177"/>
      <c r="D983" s="177"/>
      <c r="E983" s="177"/>
      <c r="F983" s="177"/>
      <c r="G983" s="177"/>
      <c r="H983" s="177"/>
      <c r="I983" s="177"/>
    </row>
    <row r="984" spans="3:9" x14ac:dyDescent="0.25">
      <c r="C984" s="177"/>
      <c r="D984" s="177"/>
      <c r="E984" s="177"/>
      <c r="F984" s="177"/>
      <c r="G984" s="177"/>
      <c r="H984" s="177"/>
      <c r="I984" s="177"/>
    </row>
    <row r="985" spans="3:9" x14ac:dyDescent="0.25">
      <c r="C985" s="177"/>
      <c r="D985" s="177"/>
      <c r="E985" s="177"/>
      <c r="F985" s="177"/>
      <c r="G985" s="177"/>
      <c r="H985" s="177"/>
      <c r="I985" s="177"/>
    </row>
    <row r="986" spans="3:9" x14ac:dyDescent="0.25">
      <c r="C986" s="177"/>
      <c r="D986" s="177"/>
      <c r="E986" s="177"/>
      <c r="F986" s="177"/>
      <c r="G986" s="177"/>
      <c r="H986" s="177"/>
      <c r="I986" s="177"/>
    </row>
    <row r="987" spans="3:9" x14ac:dyDescent="0.25">
      <c r="C987" s="177"/>
      <c r="D987" s="177"/>
      <c r="E987" s="177"/>
      <c r="F987" s="177"/>
      <c r="G987" s="177"/>
      <c r="H987" s="177"/>
      <c r="I987" s="177"/>
    </row>
    <row r="988" spans="3:9" x14ac:dyDescent="0.25">
      <c r="C988" s="177"/>
      <c r="D988" s="177"/>
      <c r="E988" s="177"/>
      <c r="F988" s="177"/>
      <c r="G988" s="177"/>
      <c r="H988" s="177"/>
      <c r="I988" s="177"/>
    </row>
    <row r="989" spans="3:9" x14ac:dyDescent="0.25">
      <c r="C989" s="177"/>
      <c r="D989" s="177"/>
      <c r="E989" s="177"/>
      <c r="F989" s="177"/>
      <c r="G989" s="177"/>
      <c r="H989" s="177"/>
      <c r="I989" s="177"/>
    </row>
    <row r="990" spans="3:9" x14ac:dyDescent="0.25">
      <c r="C990" s="177"/>
      <c r="D990" s="177"/>
      <c r="E990" s="177"/>
      <c r="F990" s="177"/>
      <c r="G990" s="177"/>
      <c r="H990" s="177"/>
      <c r="I990" s="177"/>
    </row>
    <row r="991" spans="3:9" x14ac:dyDescent="0.25">
      <c r="C991" s="177"/>
      <c r="D991" s="177"/>
      <c r="E991" s="177"/>
      <c r="F991" s="177"/>
      <c r="G991" s="177"/>
      <c r="H991" s="177"/>
      <c r="I991" s="177"/>
    </row>
    <row r="992" spans="3:9" x14ac:dyDescent="0.25">
      <c r="C992" s="177"/>
      <c r="D992" s="177"/>
      <c r="E992" s="177"/>
      <c r="F992" s="177"/>
      <c r="G992" s="177"/>
      <c r="H992" s="177"/>
      <c r="I992" s="177"/>
    </row>
    <row r="993" spans="3:9" x14ac:dyDescent="0.25">
      <c r="C993" s="177"/>
      <c r="D993" s="177"/>
      <c r="E993" s="177"/>
      <c r="F993" s="177"/>
      <c r="G993" s="177"/>
      <c r="H993" s="177"/>
      <c r="I993" s="177"/>
    </row>
    <row r="994" spans="3:9" x14ac:dyDescent="0.25">
      <c r="C994" s="177"/>
      <c r="D994" s="177"/>
      <c r="E994" s="177"/>
      <c r="F994" s="177"/>
      <c r="G994" s="177"/>
      <c r="H994" s="177"/>
      <c r="I994" s="177"/>
    </row>
    <row r="995" spans="3:9" x14ac:dyDescent="0.25">
      <c r="C995" s="177"/>
      <c r="D995" s="177"/>
      <c r="E995" s="177"/>
      <c r="F995" s="177"/>
      <c r="G995" s="177"/>
      <c r="H995" s="177"/>
      <c r="I995" s="177"/>
    </row>
    <row r="996" spans="3:9" x14ac:dyDescent="0.25">
      <c r="C996" s="177"/>
      <c r="D996" s="177"/>
      <c r="E996" s="177"/>
      <c r="F996" s="177"/>
      <c r="G996" s="177"/>
      <c r="H996" s="177"/>
      <c r="I996" s="177"/>
    </row>
    <row r="997" spans="3:9" x14ac:dyDescent="0.25">
      <c r="C997" s="177"/>
      <c r="D997" s="177"/>
      <c r="E997" s="177"/>
      <c r="F997" s="177"/>
      <c r="G997" s="177"/>
      <c r="H997" s="177"/>
      <c r="I997" s="177"/>
    </row>
    <row r="998" spans="3:9" x14ac:dyDescent="0.25">
      <c r="C998" s="177"/>
      <c r="D998" s="177"/>
      <c r="E998" s="177"/>
      <c r="F998" s="177"/>
      <c r="G998" s="177"/>
      <c r="H998" s="177"/>
      <c r="I998" s="177"/>
    </row>
    <row r="999" spans="3:9" x14ac:dyDescent="0.25">
      <c r="C999" s="177"/>
      <c r="D999" s="177"/>
      <c r="E999" s="177"/>
      <c r="F999" s="177"/>
      <c r="G999" s="177"/>
      <c r="H999" s="177"/>
      <c r="I999" s="177"/>
    </row>
    <row r="1000" spans="3:9" x14ac:dyDescent="0.25">
      <c r="C1000" s="177"/>
      <c r="D1000" s="177"/>
      <c r="E1000" s="177"/>
      <c r="F1000" s="177"/>
      <c r="G1000" s="177"/>
      <c r="H1000" s="177"/>
      <c r="I1000" s="177"/>
    </row>
    <row r="1001" spans="3:9" x14ac:dyDescent="0.25">
      <c r="C1001" s="177"/>
      <c r="D1001" s="177"/>
      <c r="E1001" s="177"/>
      <c r="F1001" s="177"/>
      <c r="G1001" s="177"/>
      <c r="H1001" s="177"/>
      <c r="I1001" s="177"/>
    </row>
    <row r="1002" spans="3:9" x14ac:dyDescent="0.25">
      <c r="C1002" s="177"/>
      <c r="D1002" s="177"/>
      <c r="E1002" s="177"/>
      <c r="F1002" s="177"/>
      <c r="G1002" s="177"/>
      <c r="H1002" s="177"/>
      <c r="I1002" s="177"/>
    </row>
    <row r="1003" spans="3:9" x14ac:dyDescent="0.25">
      <c r="C1003" s="177"/>
      <c r="D1003" s="177"/>
      <c r="E1003" s="177"/>
      <c r="F1003" s="177"/>
      <c r="G1003" s="177"/>
      <c r="H1003" s="177"/>
      <c r="I1003" s="177"/>
    </row>
    <row r="1004" spans="3:9" x14ac:dyDescent="0.25">
      <c r="C1004" s="177"/>
      <c r="D1004" s="177"/>
      <c r="E1004" s="177"/>
      <c r="F1004" s="177"/>
      <c r="G1004" s="177"/>
      <c r="H1004" s="177"/>
      <c r="I1004" s="177"/>
    </row>
    <row r="1005" spans="3:9" x14ac:dyDescent="0.25">
      <c r="C1005" s="177"/>
      <c r="D1005" s="177"/>
      <c r="E1005" s="177"/>
      <c r="F1005" s="177"/>
      <c r="G1005" s="177"/>
      <c r="H1005" s="177"/>
      <c r="I1005" s="177"/>
    </row>
    <row r="1006" spans="3:9" x14ac:dyDescent="0.25">
      <c r="C1006" s="177"/>
      <c r="D1006" s="177"/>
      <c r="E1006" s="177"/>
      <c r="F1006" s="177"/>
      <c r="G1006" s="177"/>
      <c r="H1006" s="177"/>
      <c r="I1006" s="177"/>
    </row>
    <row r="1007" spans="3:9" x14ac:dyDescent="0.25">
      <c r="C1007" s="177"/>
      <c r="D1007" s="177"/>
      <c r="E1007" s="177"/>
      <c r="F1007" s="177"/>
      <c r="G1007" s="177"/>
      <c r="H1007" s="177"/>
      <c r="I1007" s="177"/>
    </row>
    <row r="1008" spans="3:9" x14ac:dyDescent="0.25">
      <c r="C1008" s="177"/>
      <c r="D1008" s="177"/>
      <c r="E1008" s="177"/>
      <c r="F1008" s="177"/>
      <c r="G1008" s="177"/>
      <c r="H1008" s="177"/>
      <c r="I1008" s="177"/>
    </row>
    <row r="1009" spans="3:9" x14ac:dyDescent="0.25">
      <c r="C1009" s="177"/>
      <c r="D1009" s="177"/>
      <c r="E1009" s="177"/>
      <c r="F1009" s="177"/>
      <c r="G1009" s="177"/>
      <c r="H1009" s="177"/>
      <c r="I1009" s="177"/>
    </row>
    <row r="1010" spans="3:9" x14ac:dyDescent="0.25">
      <c r="C1010" s="177"/>
      <c r="D1010" s="177"/>
      <c r="E1010" s="177"/>
      <c r="F1010" s="177"/>
      <c r="G1010" s="177"/>
      <c r="H1010" s="177"/>
      <c r="I1010" s="177"/>
    </row>
    <row r="1011" spans="3:9" x14ac:dyDescent="0.25">
      <c r="C1011" s="177"/>
      <c r="D1011" s="177"/>
      <c r="E1011" s="177"/>
      <c r="F1011" s="177"/>
      <c r="G1011" s="177"/>
      <c r="H1011" s="177"/>
      <c r="I1011" s="177"/>
    </row>
    <row r="1012" spans="3:9" x14ac:dyDescent="0.25">
      <c r="C1012" s="177"/>
      <c r="D1012" s="177"/>
      <c r="E1012" s="177"/>
      <c r="F1012" s="177"/>
      <c r="G1012" s="177"/>
      <c r="H1012" s="177"/>
      <c r="I1012" s="177"/>
    </row>
    <row r="1013" spans="3:9" x14ac:dyDescent="0.25">
      <c r="C1013" s="177"/>
      <c r="D1013" s="177"/>
      <c r="E1013" s="177"/>
      <c r="F1013" s="177"/>
      <c r="G1013" s="177"/>
      <c r="H1013" s="177"/>
      <c r="I1013" s="177"/>
    </row>
    <row r="1014" spans="3:9" x14ac:dyDescent="0.25">
      <c r="C1014" s="177"/>
      <c r="D1014" s="177"/>
      <c r="E1014" s="177"/>
      <c r="F1014" s="177"/>
      <c r="G1014" s="177"/>
      <c r="H1014" s="177"/>
      <c r="I1014" s="177"/>
    </row>
    <row r="1015" spans="3:9" x14ac:dyDescent="0.25">
      <c r="C1015" s="177"/>
      <c r="D1015" s="177"/>
      <c r="E1015" s="177"/>
      <c r="F1015" s="177"/>
      <c r="G1015" s="177"/>
      <c r="H1015" s="177"/>
      <c r="I1015" s="177"/>
    </row>
    <row r="1016" spans="3:9" x14ac:dyDescent="0.25">
      <c r="C1016" s="177"/>
      <c r="D1016" s="177"/>
      <c r="E1016" s="177"/>
      <c r="F1016" s="177"/>
      <c r="G1016" s="177"/>
      <c r="H1016" s="177"/>
      <c r="I1016" s="177"/>
    </row>
    <row r="1017" spans="3:9" x14ac:dyDescent="0.25">
      <c r="C1017" s="177"/>
      <c r="D1017" s="177"/>
      <c r="E1017" s="177"/>
      <c r="F1017" s="177"/>
      <c r="G1017" s="177"/>
      <c r="H1017" s="177"/>
      <c r="I1017" s="177"/>
    </row>
    <row r="1018" spans="3:9" x14ac:dyDescent="0.25">
      <c r="C1018" s="177"/>
      <c r="D1018" s="177"/>
      <c r="E1018" s="177"/>
      <c r="F1018" s="177"/>
      <c r="G1018" s="177"/>
      <c r="H1018" s="177"/>
      <c r="I1018" s="177"/>
    </row>
    <row r="1019" spans="3:9" x14ac:dyDescent="0.25">
      <c r="C1019" s="177"/>
      <c r="D1019" s="177"/>
      <c r="E1019" s="177"/>
      <c r="F1019" s="177"/>
      <c r="G1019" s="177"/>
      <c r="H1019" s="177"/>
      <c r="I1019" s="177"/>
    </row>
    <row r="1020" spans="3:9" x14ac:dyDescent="0.25">
      <c r="C1020" s="177"/>
      <c r="D1020" s="177"/>
      <c r="E1020" s="177"/>
      <c r="F1020" s="177"/>
      <c r="G1020" s="177"/>
      <c r="H1020" s="177"/>
      <c r="I1020" s="177"/>
    </row>
    <row r="1021" spans="3:9" x14ac:dyDescent="0.25">
      <c r="C1021" s="177"/>
      <c r="D1021" s="177"/>
      <c r="E1021" s="177"/>
      <c r="F1021" s="177"/>
      <c r="G1021" s="177"/>
      <c r="H1021" s="177"/>
      <c r="I1021" s="177"/>
    </row>
    <row r="1022" spans="3:9" x14ac:dyDescent="0.25">
      <c r="C1022" s="177"/>
      <c r="D1022" s="177"/>
      <c r="E1022" s="177"/>
      <c r="F1022" s="177"/>
      <c r="G1022" s="177"/>
      <c r="H1022" s="177"/>
      <c r="I1022" s="177"/>
    </row>
    <row r="1023" spans="3:9" x14ac:dyDescent="0.25">
      <c r="C1023" s="177"/>
      <c r="D1023" s="177"/>
      <c r="E1023" s="177"/>
      <c r="F1023" s="177"/>
      <c r="G1023" s="177"/>
      <c r="H1023" s="177"/>
      <c r="I1023" s="177"/>
    </row>
    <row r="1024" spans="3:9" x14ac:dyDescent="0.25">
      <c r="C1024" s="177"/>
      <c r="D1024" s="177"/>
      <c r="E1024" s="177"/>
      <c r="F1024" s="177"/>
      <c r="G1024" s="177"/>
      <c r="H1024" s="177"/>
      <c r="I1024" s="177"/>
    </row>
    <row r="1025" spans="3:9" x14ac:dyDescent="0.25">
      <c r="C1025" s="177"/>
      <c r="D1025" s="177"/>
      <c r="E1025" s="177"/>
      <c r="F1025" s="177"/>
      <c r="G1025" s="177"/>
      <c r="H1025" s="177"/>
      <c r="I1025" s="177"/>
    </row>
    <row r="1026" spans="3:9" x14ac:dyDescent="0.25">
      <c r="C1026" s="177"/>
      <c r="D1026" s="177"/>
      <c r="E1026" s="177"/>
      <c r="F1026" s="177"/>
      <c r="G1026" s="177"/>
      <c r="H1026" s="177"/>
      <c r="I1026" s="177"/>
    </row>
    <row r="1027" spans="3:9" x14ac:dyDescent="0.25">
      <c r="C1027" s="177"/>
      <c r="D1027" s="177"/>
      <c r="E1027" s="177"/>
      <c r="F1027" s="177"/>
      <c r="G1027" s="177"/>
      <c r="H1027" s="177"/>
      <c r="I1027" s="177"/>
    </row>
    <row r="1028" spans="3:9" x14ac:dyDescent="0.25">
      <c r="C1028" s="177"/>
      <c r="D1028" s="177"/>
      <c r="E1028" s="177"/>
      <c r="F1028" s="177"/>
      <c r="G1028" s="177"/>
      <c r="H1028" s="177"/>
      <c r="I1028" s="177"/>
    </row>
    <row r="1029" spans="3:9" x14ac:dyDescent="0.25">
      <c r="C1029" s="177"/>
      <c r="D1029" s="177"/>
      <c r="E1029" s="177"/>
      <c r="F1029" s="177"/>
      <c r="G1029" s="177"/>
      <c r="H1029" s="177"/>
      <c r="I1029" s="177"/>
    </row>
    <row r="1030" spans="3:9" x14ac:dyDescent="0.25">
      <c r="C1030" s="177"/>
      <c r="D1030" s="177"/>
      <c r="E1030" s="177"/>
      <c r="F1030" s="177"/>
      <c r="G1030" s="177"/>
      <c r="H1030" s="177"/>
      <c r="I1030" s="177"/>
    </row>
    <row r="1031" spans="3:9" x14ac:dyDescent="0.25">
      <c r="C1031" s="177"/>
      <c r="D1031" s="177"/>
      <c r="E1031" s="177"/>
      <c r="F1031" s="177"/>
      <c r="G1031" s="177"/>
      <c r="H1031" s="177"/>
      <c r="I1031" s="177"/>
    </row>
    <row r="1032" spans="3:9" x14ac:dyDescent="0.25">
      <c r="C1032" s="177"/>
      <c r="D1032" s="177"/>
      <c r="E1032" s="177"/>
      <c r="F1032" s="177"/>
      <c r="G1032" s="177"/>
      <c r="H1032" s="177"/>
      <c r="I1032" s="177"/>
    </row>
    <row r="1033" spans="3:9" x14ac:dyDescent="0.25">
      <c r="C1033" s="177"/>
      <c r="D1033" s="177"/>
      <c r="E1033" s="177"/>
      <c r="F1033" s="177"/>
      <c r="G1033" s="177"/>
      <c r="H1033" s="177"/>
      <c r="I1033" s="177"/>
    </row>
    <row r="1034" spans="3:9" x14ac:dyDescent="0.25">
      <c r="C1034" s="177"/>
      <c r="D1034" s="177"/>
      <c r="E1034" s="177"/>
      <c r="F1034" s="177"/>
      <c r="G1034" s="177"/>
      <c r="H1034" s="177"/>
      <c r="I1034" s="177"/>
    </row>
    <row r="1035" spans="3:9" x14ac:dyDescent="0.25">
      <c r="C1035" s="177"/>
      <c r="D1035" s="177"/>
      <c r="E1035" s="177"/>
      <c r="F1035" s="177"/>
      <c r="G1035" s="177"/>
      <c r="H1035" s="177"/>
      <c r="I1035" s="177"/>
    </row>
    <row r="1036" spans="3:9" x14ac:dyDescent="0.25">
      <c r="C1036" s="177"/>
      <c r="D1036" s="177"/>
      <c r="E1036" s="177"/>
      <c r="F1036" s="177"/>
      <c r="G1036" s="177"/>
      <c r="H1036" s="177"/>
      <c r="I1036" s="177"/>
    </row>
    <row r="1037" spans="3:9" x14ac:dyDescent="0.25">
      <c r="C1037" s="177"/>
      <c r="D1037" s="177"/>
      <c r="E1037" s="177"/>
      <c r="F1037" s="177"/>
      <c r="G1037" s="177"/>
      <c r="H1037" s="177"/>
      <c r="I1037" s="177"/>
    </row>
    <row r="1038" spans="3:9" x14ac:dyDescent="0.25">
      <c r="C1038" s="177"/>
      <c r="D1038" s="177"/>
      <c r="E1038" s="177"/>
      <c r="F1038" s="177"/>
      <c r="G1038" s="177"/>
      <c r="H1038" s="177"/>
      <c r="I1038" s="177"/>
    </row>
    <row r="1039" spans="3:9" x14ac:dyDescent="0.25">
      <c r="C1039" s="177"/>
      <c r="D1039" s="177"/>
      <c r="E1039" s="177"/>
      <c r="F1039" s="177"/>
      <c r="G1039" s="177"/>
      <c r="H1039" s="177"/>
      <c r="I1039" s="177"/>
    </row>
    <row r="1040" spans="3:9" x14ac:dyDescent="0.25">
      <c r="C1040" s="177"/>
      <c r="D1040" s="177"/>
      <c r="E1040" s="177"/>
      <c r="F1040" s="177"/>
      <c r="G1040" s="177"/>
      <c r="H1040" s="177"/>
      <c r="I1040" s="177"/>
    </row>
    <row r="1041" spans="3:9" x14ac:dyDescent="0.25">
      <c r="C1041" s="177"/>
      <c r="D1041" s="177"/>
      <c r="E1041" s="177"/>
      <c r="F1041" s="177"/>
      <c r="G1041" s="177"/>
      <c r="H1041" s="177"/>
      <c r="I1041" s="177"/>
    </row>
    <row r="1042" spans="3:9" x14ac:dyDescent="0.25">
      <c r="C1042" s="177"/>
      <c r="D1042" s="177"/>
      <c r="E1042" s="177"/>
      <c r="F1042" s="177"/>
      <c r="G1042" s="177"/>
      <c r="H1042" s="177"/>
      <c r="I1042" s="177"/>
    </row>
    <row r="1043" spans="3:9" x14ac:dyDescent="0.25">
      <c r="C1043" s="177"/>
      <c r="D1043" s="177"/>
      <c r="E1043" s="177"/>
      <c r="F1043" s="177"/>
      <c r="G1043" s="177"/>
      <c r="H1043" s="177"/>
      <c r="I1043" s="177"/>
    </row>
    <row r="1044" spans="3:9" x14ac:dyDescent="0.25">
      <c r="C1044" s="177"/>
      <c r="D1044" s="177"/>
      <c r="E1044" s="177"/>
      <c r="F1044" s="177"/>
      <c r="G1044" s="177"/>
      <c r="H1044" s="177"/>
      <c r="I1044" s="177"/>
    </row>
    <row r="1045" spans="3:9" x14ac:dyDescent="0.25">
      <c r="C1045" s="177"/>
      <c r="D1045" s="177"/>
      <c r="E1045" s="177"/>
      <c r="F1045" s="177"/>
      <c r="G1045" s="177"/>
      <c r="H1045" s="177"/>
      <c r="I1045" s="177"/>
    </row>
    <row r="1046" spans="3:9" x14ac:dyDescent="0.25">
      <c r="C1046" s="177"/>
      <c r="D1046" s="177"/>
      <c r="E1046" s="177"/>
      <c r="F1046" s="177"/>
      <c r="G1046" s="177"/>
      <c r="H1046" s="177"/>
      <c r="I1046" s="177"/>
    </row>
    <row r="1047" spans="3:9" x14ac:dyDescent="0.25">
      <c r="C1047" s="177"/>
      <c r="D1047" s="177"/>
      <c r="E1047" s="177"/>
      <c r="F1047" s="177"/>
      <c r="G1047" s="177"/>
      <c r="H1047" s="177"/>
      <c r="I1047" s="177"/>
    </row>
    <row r="1048" spans="3:9" x14ac:dyDescent="0.25">
      <c r="C1048" s="177"/>
      <c r="D1048" s="177"/>
      <c r="E1048" s="177"/>
      <c r="F1048" s="177"/>
      <c r="G1048" s="177"/>
      <c r="H1048" s="177"/>
      <c r="I1048" s="177"/>
    </row>
    <row r="1049" spans="3:9" x14ac:dyDescent="0.25">
      <c r="C1049" s="177"/>
      <c r="D1049" s="177"/>
      <c r="E1049" s="177"/>
      <c r="F1049" s="177"/>
      <c r="G1049" s="177"/>
      <c r="H1049" s="177"/>
      <c r="I1049" s="177"/>
    </row>
    <row r="1050" spans="3:9" x14ac:dyDescent="0.25">
      <c r="C1050" s="177"/>
      <c r="D1050" s="177"/>
      <c r="E1050" s="177"/>
      <c r="F1050" s="177"/>
      <c r="G1050" s="177"/>
      <c r="H1050" s="177"/>
      <c r="I1050" s="177"/>
    </row>
    <row r="1051" spans="3:9" x14ac:dyDescent="0.25">
      <c r="C1051" s="177"/>
      <c r="D1051" s="177"/>
      <c r="E1051" s="177"/>
      <c r="F1051" s="177"/>
      <c r="G1051" s="177"/>
      <c r="H1051" s="177"/>
      <c r="I1051" s="177"/>
    </row>
    <row r="1052" spans="3:9" x14ac:dyDescent="0.25">
      <c r="C1052" s="177"/>
      <c r="D1052" s="177"/>
      <c r="E1052" s="177"/>
      <c r="F1052" s="177"/>
      <c r="G1052" s="177"/>
      <c r="H1052" s="177"/>
      <c r="I1052" s="177"/>
    </row>
    <row r="1053" spans="3:9" x14ac:dyDescent="0.25">
      <c r="C1053" s="177"/>
      <c r="D1053" s="177"/>
      <c r="E1053" s="177"/>
      <c r="F1053" s="177"/>
      <c r="G1053" s="177"/>
      <c r="H1053" s="177"/>
      <c r="I1053" s="177"/>
    </row>
    <row r="1054" spans="3:9" x14ac:dyDescent="0.25">
      <c r="C1054" s="177"/>
      <c r="D1054" s="177"/>
      <c r="E1054" s="177"/>
      <c r="F1054" s="177"/>
      <c r="G1054" s="177"/>
      <c r="H1054" s="177"/>
      <c r="I1054" s="177"/>
    </row>
    <row r="1055" spans="3:9" x14ac:dyDescent="0.25">
      <c r="C1055" s="177"/>
      <c r="D1055" s="177"/>
      <c r="E1055" s="177"/>
      <c r="F1055" s="177"/>
      <c r="G1055" s="177"/>
      <c r="H1055" s="177"/>
      <c r="I1055" s="177"/>
    </row>
    <row r="1056" spans="3:9" x14ac:dyDescent="0.25">
      <c r="C1056" s="177"/>
      <c r="D1056" s="177"/>
      <c r="E1056" s="177"/>
      <c r="F1056" s="177"/>
      <c r="G1056" s="177"/>
      <c r="H1056" s="177"/>
      <c r="I1056" s="177"/>
    </row>
    <row r="1057" spans="3:9" x14ac:dyDescent="0.25">
      <c r="C1057" s="177"/>
      <c r="D1057" s="177"/>
      <c r="E1057" s="177"/>
      <c r="F1057" s="177"/>
      <c r="G1057" s="177"/>
      <c r="H1057" s="177"/>
      <c r="I1057" s="177"/>
    </row>
    <row r="1058" spans="3:9" x14ac:dyDescent="0.25">
      <c r="C1058" s="177"/>
      <c r="D1058" s="177"/>
      <c r="E1058" s="177"/>
      <c r="F1058" s="177"/>
      <c r="G1058" s="177"/>
      <c r="H1058" s="177"/>
      <c r="I1058" s="177"/>
    </row>
    <row r="1059" spans="3:9" x14ac:dyDescent="0.25">
      <c r="C1059" s="177"/>
      <c r="D1059" s="177"/>
      <c r="E1059" s="177"/>
      <c r="F1059" s="177"/>
      <c r="G1059" s="177"/>
      <c r="H1059" s="177"/>
      <c r="I1059" s="177"/>
    </row>
    <row r="1060" spans="3:9" x14ac:dyDescent="0.25">
      <c r="C1060" s="177"/>
      <c r="D1060" s="177"/>
      <c r="E1060" s="177"/>
      <c r="F1060" s="177"/>
      <c r="G1060" s="177"/>
      <c r="H1060" s="177"/>
      <c r="I1060" s="177"/>
    </row>
    <row r="1061" spans="3:9" x14ac:dyDescent="0.25">
      <c r="C1061" s="177"/>
      <c r="D1061" s="177"/>
      <c r="E1061" s="177"/>
      <c r="F1061" s="177"/>
      <c r="G1061" s="177"/>
      <c r="H1061" s="177"/>
      <c r="I1061" s="177"/>
    </row>
    <row r="1062" spans="3:9" x14ac:dyDescent="0.25">
      <c r="C1062" s="177"/>
      <c r="D1062" s="177"/>
      <c r="E1062" s="177"/>
      <c r="F1062" s="177"/>
      <c r="G1062" s="177"/>
      <c r="H1062" s="177"/>
      <c r="I1062" s="177"/>
    </row>
    <row r="1063" spans="3:9" x14ac:dyDescent="0.25">
      <c r="C1063" s="177"/>
      <c r="D1063" s="177"/>
      <c r="E1063" s="177"/>
      <c r="F1063" s="177"/>
      <c r="G1063" s="177"/>
      <c r="H1063" s="177"/>
      <c r="I1063" s="177"/>
    </row>
    <row r="1064" spans="3:9" x14ac:dyDescent="0.25">
      <c r="C1064" s="177"/>
      <c r="D1064" s="177"/>
      <c r="E1064" s="177"/>
      <c r="F1064" s="177"/>
      <c r="G1064" s="177"/>
      <c r="H1064" s="177"/>
      <c r="I1064" s="177"/>
    </row>
    <row r="1065" spans="3:9" x14ac:dyDescent="0.25">
      <c r="C1065" s="177"/>
      <c r="D1065" s="177"/>
      <c r="E1065" s="177"/>
      <c r="F1065" s="177"/>
      <c r="G1065" s="177"/>
      <c r="H1065" s="177"/>
      <c r="I1065" s="177"/>
    </row>
    <row r="1066" spans="3:9" x14ac:dyDescent="0.25">
      <c r="C1066" s="177"/>
      <c r="D1066" s="177"/>
      <c r="E1066" s="177"/>
      <c r="F1066" s="177"/>
      <c r="G1066" s="177"/>
      <c r="H1066" s="177"/>
      <c r="I1066" s="177"/>
    </row>
    <row r="1067" spans="3:9" x14ac:dyDescent="0.25">
      <c r="C1067" s="177"/>
      <c r="D1067" s="177"/>
      <c r="E1067" s="177"/>
      <c r="F1067" s="177"/>
      <c r="G1067" s="177"/>
      <c r="H1067" s="177"/>
      <c r="I1067" s="177"/>
    </row>
    <row r="1068" spans="3:9" x14ac:dyDescent="0.25">
      <c r="C1068" s="177"/>
      <c r="D1068" s="177"/>
      <c r="E1068" s="177"/>
      <c r="F1068" s="177"/>
      <c r="G1068" s="177"/>
      <c r="H1068" s="177"/>
      <c r="I1068" s="177"/>
    </row>
    <row r="1069" spans="3:9" x14ac:dyDescent="0.25">
      <c r="C1069" s="177"/>
      <c r="D1069" s="177"/>
      <c r="E1069" s="177"/>
      <c r="F1069" s="177"/>
      <c r="G1069" s="177"/>
      <c r="H1069" s="177"/>
      <c r="I1069" s="177"/>
    </row>
    <row r="1070" spans="3:9" x14ac:dyDescent="0.25">
      <c r="C1070" s="177"/>
      <c r="D1070" s="177"/>
      <c r="E1070" s="177"/>
      <c r="F1070" s="177"/>
      <c r="G1070" s="177"/>
      <c r="H1070" s="177"/>
      <c r="I1070" s="177"/>
    </row>
    <row r="1071" spans="3:9" x14ac:dyDescent="0.25">
      <c r="C1071" s="177"/>
      <c r="D1071" s="177"/>
      <c r="E1071" s="177"/>
      <c r="F1071" s="177"/>
      <c r="G1071" s="177"/>
      <c r="H1071" s="177"/>
      <c r="I1071" s="177"/>
    </row>
    <row r="1072" spans="3:9" x14ac:dyDescent="0.25">
      <c r="C1072" s="177"/>
      <c r="D1072" s="177"/>
      <c r="E1072" s="177"/>
      <c r="F1072" s="177"/>
      <c r="G1072" s="177"/>
      <c r="H1072" s="177"/>
      <c r="I1072" s="177"/>
    </row>
    <row r="1073" spans="3:9" x14ac:dyDescent="0.25">
      <c r="C1073" s="177"/>
      <c r="D1073" s="177"/>
      <c r="E1073" s="177"/>
      <c r="F1073" s="177"/>
      <c r="G1073" s="177"/>
      <c r="H1073" s="177"/>
      <c r="I1073" s="177"/>
    </row>
    <row r="1074" spans="3:9" x14ac:dyDescent="0.25">
      <c r="C1074" s="177"/>
      <c r="D1074" s="177"/>
      <c r="E1074" s="177"/>
      <c r="F1074" s="177"/>
      <c r="G1074" s="177"/>
      <c r="H1074" s="177"/>
      <c r="I1074" s="177"/>
    </row>
    <row r="1075" spans="3:9" x14ac:dyDescent="0.25">
      <c r="C1075" s="177"/>
      <c r="D1075" s="177"/>
      <c r="E1075" s="177"/>
      <c r="F1075" s="177"/>
      <c r="G1075" s="177"/>
      <c r="H1075" s="177"/>
      <c r="I1075" s="177"/>
    </row>
    <row r="1076" spans="3:9" x14ac:dyDescent="0.25">
      <c r="C1076" s="177"/>
      <c r="D1076" s="177"/>
      <c r="E1076" s="177"/>
      <c r="F1076" s="177"/>
      <c r="G1076" s="177"/>
      <c r="H1076" s="177"/>
      <c r="I1076" s="177"/>
    </row>
    <row r="1077" spans="3:9" x14ac:dyDescent="0.25">
      <c r="C1077" s="177"/>
      <c r="D1077" s="177"/>
      <c r="E1077" s="177"/>
      <c r="F1077" s="177"/>
      <c r="G1077" s="177"/>
      <c r="H1077" s="177"/>
      <c r="I1077" s="177"/>
    </row>
    <row r="1078" spans="3:9" x14ac:dyDescent="0.25">
      <c r="C1078" s="177"/>
      <c r="D1078" s="177"/>
      <c r="E1078" s="177"/>
      <c r="F1078" s="177"/>
      <c r="G1078" s="177"/>
      <c r="H1078" s="177"/>
      <c r="I1078" s="177"/>
    </row>
    <row r="1079" spans="3:9" x14ac:dyDescent="0.25">
      <c r="C1079" s="177"/>
      <c r="D1079" s="177"/>
      <c r="E1079" s="177"/>
      <c r="F1079" s="177"/>
      <c r="G1079" s="177"/>
      <c r="H1079" s="177"/>
      <c r="I1079" s="177"/>
    </row>
    <row r="1080" spans="3:9" x14ac:dyDescent="0.25">
      <c r="C1080" s="177"/>
      <c r="D1080" s="177"/>
      <c r="E1080" s="177"/>
      <c r="F1080" s="177"/>
      <c r="G1080" s="177"/>
      <c r="H1080" s="177"/>
      <c r="I1080" s="177"/>
    </row>
    <row r="1081" spans="3:9" x14ac:dyDescent="0.25">
      <c r="C1081" s="177"/>
      <c r="D1081" s="177"/>
      <c r="E1081" s="177"/>
      <c r="F1081" s="177"/>
      <c r="G1081" s="177"/>
      <c r="H1081" s="177"/>
      <c r="I1081" s="177"/>
    </row>
    <row r="1082" spans="3:9" x14ac:dyDescent="0.25">
      <c r="C1082" s="177"/>
      <c r="D1082" s="177"/>
      <c r="E1082" s="177"/>
      <c r="F1082" s="177"/>
      <c r="G1082" s="177"/>
      <c r="H1082" s="177"/>
      <c r="I1082" s="177"/>
    </row>
    <row r="1083" spans="3:9" x14ac:dyDescent="0.25">
      <c r="C1083" s="177"/>
      <c r="D1083" s="177"/>
      <c r="E1083" s="177"/>
      <c r="F1083" s="177"/>
      <c r="G1083" s="177"/>
      <c r="H1083" s="177"/>
      <c r="I1083" s="177"/>
    </row>
    <row r="1084" spans="3:9" x14ac:dyDescent="0.25">
      <c r="C1084" s="177"/>
      <c r="D1084" s="177"/>
      <c r="E1084" s="177"/>
      <c r="F1084" s="177"/>
      <c r="G1084" s="177"/>
      <c r="H1084" s="177"/>
      <c r="I1084" s="177"/>
    </row>
    <row r="1085" spans="3:9" x14ac:dyDescent="0.25">
      <c r="C1085" s="177"/>
      <c r="D1085" s="177"/>
      <c r="E1085" s="177"/>
      <c r="F1085" s="177"/>
      <c r="G1085" s="177"/>
      <c r="H1085" s="177"/>
      <c r="I1085" s="177"/>
    </row>
    <row r="1086" spans="3:9" x14ac:dyDescent="0.25">
      <c r="C1086" s="177"/>
      <c r="D1086" s="177"/>
      <c r="E1086" s="177"/>
      <c r="F1086" s="177"/>
      <c r="G1086" s="177"/>
      <c r="H1086" s="177"/>
      <c r="I1086" s="177"/>
    </row>
    <row r="1087" spans="3:9" x14ac:dyDescent="0.25">
      <c r="C1087" s="177"/>
      <c r="D1087" s="177"/>
      <c r="E1087" s="177"/>
      <c r="F1087" s="177"/>
      <c r="G1087" s="177"/>
      <c r="H1087" s="177"/>
      <c r="I1087" s="177"/>
    </row>
    <row r="1088" spans="3:9" x14ac:dyDescent="0.25">
      <c r="C1088" s="177"/>
      <c r="D1088" s="177"/>
      <c r="E1088" s="177"/>
      <c r="F1088" s="177"/>
      <c r="G1088" s="177"/>
      <c r="H1088" s="177"/>
      <c r="I1088" s="177"/>
    </row>
    <row r="1089" spans="3:9" x14ac:dyDescent="0.25">
      <c r="C1089" s="177"/>
      <c r="D1089" s="177"/>
      <c r="E1089" s="177"/>
      <c r="F1089" s="177"/>
      <c r="G1089" s="177"/>
      <c r="H1089" s="177"/>
      <c r="I1089" s="177"/>
    </row>
    <row r="1090" spans="3:9" x14ac:dyDescent="0.25">
      <c r="C1090" s="177"/>
      <c r="D1090" s="177"/>
      <c r="E1090" s="177"/>
      <c r="F1090" s="177"/>
      <c r="G1090" s="177"/>
      <c r="H1090" s="177"/>
      <c r="I1090" s="177"/>
    </row>
    <row r="1091" spans="3:9" x14ac:dyDescent="0.25">
      <c r="C1091" s="177"/>
      <c r="D1091" s="177"/>
      <c r="E1091" s="177"/>
      <c r="F1091" s="177"/>
      <c r="G1091" s="177"/>
      <c r="H1091" s="177"/>
      <c r="I1091" s="177"/>
    </row>
    <row r="1092" spans="3:9" x14ac:dyDescent="0.25">
      <c r="C1092" s="177"/>
      <c r="D1092" s="177"/>
      <c r="E1092" s="177"/>
      <c r="F1092" s="177"/>
      <c r="G1092" s="177"/>
      <c r="H1092" s="177"/>
      <c r="I1092" s="177"/>
    </row>
    <row r="1093" spans="3:9" x14ac:dyDescent="0.25">
      <c r="C1093" s="177"/>
      <c r="D1093" s="177"/>
      <c r="E1093" s="177"/>
      <c r="F1093" s="177"/>
      <c r="G1093" s="177"/>
      <c r="H1093" s="177"/>
      <c r="I1093" s="177"/>
    </row>
    <row r="1094" spans="3:9" x14ac:dyDescent="0.25">
      <c r="C1094" s="177"/>
      <c r="D1094" s="177"/>
      <c r="E1094" s="177"/>
      <c r="F1094" s="177"/>
      <c r="G1094" s="177"/>
      <c r="H1094" s="177"/>
      <c r="I1094" s="177"/>
    </row>
    <row r="1095" spans="3:9" x14ac:dyDescent="0.25">
      <c r="C1095" s="177"/>
      <c r="D1095" s="177"/>
      <c r="E1095" s="177"/>
      <c r="F1095" s="177"/>
      <c r="G1095" s="177"/>
      <c r="H1095" s="177"/>
      <c r="I1095" s="177"/>
    </row>
    <row r="1096" spans="3:9" x14ac:dyDescent="0.25">
      <c r="C1096" s="177"/>
      <c r="D1096" s="177"/>
      <c r="E1096" s="177"/>
      <c r="F1096" s="177"/>
      <c r="G1096" s="177"/>
      <c r="H1096" s="177"/>
      <c r="I1096" s="177"/>
    </row>
    <row r="1097" spans="3:9" x14ac:dyDescent="0.25">
      <c r="C1097" s="177"/>
      <c r="D1097" s="177"/>
      <c r="E1097" s="177"/>
      <c r="F1097" s="177"/>
      <c r="G1097" s="177"/>
      <c r="H1097" s="177"/>
      <c r="I1097" s="177"/>
    </row>
    <row r="1098" spans="3:9" x14ac:dyDescent="0.25">
      <c r="C1098" s="177"/>
      <c r="D1098" s="177"/>
      <c r="E1098" s="177"/>
      <c r="F1098" s="177"/>
      <c r="G1098" s="177"/>
      <c r="H1098" s="177"/>
      <c r="I1098" s="177"/>
    </row>
    <row r="1099" spans="3:9" x14ac:dyDescent="0.25">
      <c r="C1099" s="177"/>
      <c r="D1099" s="177"/>
      <c r="E1099" s="177"/>
      <c r="F1099" s="177"/>
      <c r="G1099" s="177"/>
      <c r="H1099" s="177"/>
      <c r="I1099" s="177"/>
    </row>
    <row r="1100" spans="3:9" x14ac:dyDescent="0.25">
      <c r="C1100" s="177"/>
      <c r="D1100" s="177"/>
      <c r="E1100" s="177"/>
      <c r="F1100" s="177"/>
      <c r="G1100" s="177"/>
      <c r="H1100" s="177"/>
      <c r="I1100" s="177"/>
    </row>
    <row r="1101" spans="3:9" x14ac:dyDescent="0.25">
      <c r="C1101" s="177"/>
      <c r="D1101" s="177"/>
      <c r="E1101" s="177"/>
      <c r="F1101" s="177"/>
      <c r="G1101" s="177"/>
      <c r="H1101" s="177"/>
      <c r="I1101" s="177"/>
    </row>
    <row r="1102" spans="3:9" x14ac:dyDescent="0.25">
      <c r="C1102" s="177"/>
      <c r="D1102" s="177"/>
      <c r="E1102" s="177"/>
      <c r="F1102" s="177"/>
      <c r="G1102" s="177"/>
      <c r="H1102" s="177"/>
      <c r="I1102" s="177"/>
    </row>
    <row r="1103" spans="3:9" x14ac:dyDescent="0.25">
      <c r="C1103" s="177"/>
      <c r="D1103" s="177"/>
      <c r="E1103" s="177"/>
      <c r="F1103" s="177"/>
      <c r="G1103" s="177"/>
      <c r="H1103" s="177"/>
      <c r="I1103" s="177"/>
    </row>
    <row r="1104" spans="3:9" x14ac:dyDescent="0.25">
      <c r="C1104" s="177"/>
      <c r="D1104" s="177"/>
      <c r="E1104" s="177"/>
      <c r="F1104" s="177"/>
      <c r="G1104" s="177"/>
      <c r="H1104" s="177"/>
      <c r="I1104" s="177"/>
    </row>
    <row r="1105" spans="3:9" x14ac:dyDescent="0.25">
      <c r="C1105" s="177"/>
      <c r="D1105" s="177"/>
      <c r="E1105" s="177"/>
      <c r="F1105" s="177"/>
      <c r="G1105" s="177"/>
      <c r="H1105" s="177"/>
      <c r="I1105" s="177"/>
    </row>
    <row r="1106" spans="3:9" x14ac:dyDescent="0.25">
      <c r="C1106" s="177"/>
      <c r="D1106" s="177"/>
      <c r="E1106" s="177"/>
      <c r="F1106" s="177"/>
      <c r="G1106" s="177"/>
      <c r="H1106" s="177"/>
      <c r="I1106" s="177"/>
    </row>
    <row r="1107" spans="3:9" x14ac:dyDescent="0.25">
      <c r="C1107" s="177"/>
      <c r="D1107" s="177"/>
      <c r="E1107" s="177"/>
      <c r="F1107" s="177"/>
      <c r="G1107" s="177"/>
      <c r="H1107" s="177"/>
      <c r="I1107" s="177"/>
    </row>
    <row r="1108" spans="3:9" x14ac:dyDescent="0.25">
      <c r="C1108" s="177"/>
      <c r="D1108" s="177"/>
      <c r="E1108" s="177"/>
      <c r="F1108" s="177"/>
      <c r="G1108" s="177"/>
      <c r="H1108" s="177"/>
      <c r="I1108" s="177"/>
    </row>
    <row r="1109" spans="3:9" x14ac:dyDescent="0.25">
      <c r="C1109" s="177"/>
      <c r="D1109" s="177"/>
      <c r="E1109" s="177"/>
      <c r="F1109" s="177"/>
      <c r="G1109" s="177"/>
      <c r="H1109" s="177"/>
      <c r="I1109" s="177"/>
    </row>
    <row r="1110" spans="3:9" x14ac:dyDescent="0.25">
      <c r="C1110" s="177"/>
      <c r="D1110" s="177"/>
      <c r="E1110" s="177"/>
      <c r="F1110" s="177"/>
      <c r="G1110" s="177"/>
      <c r="H1110" s="177"/>
      <c r="I1110" s="177"/>
    </row>
    <row r="1111" spans="3:9" x14ac:dyDescent="0.25">
      <c r="C1111" s="177"/>
      <c r="D1111" s="177"/>
      <c r="E1111" s="177"/>
      <c r="F1111" s="177"/>
      <c r="G1111" s="177"/>
      <c r="H1111" s="177"/>
      <c r="I1111" s="177"/>
    </row>
    <row r="1112" spans="3:9" x14ac:dyDescent="0.25">
      <c r="C1112" s="177"/>
      <c r="D1112" s="177"/>
      <c r="E1112" s="177"/>
      <c r="F1112" s="177"/>
      <c r="G1112" s="177"/>
      <c r="H1112" s="177"/>
      <c r="I1112" s="177"/>
    </row>
    <row r="1113" spans="3:9" x14ac:dyDescent="0.25">
      <c r="C1113" s="177"/>
      <c r="D1113" s="177"/>
      <c r="E1113" s="177"/>
      <c r="F1113" s="177"/>
      <c r="G1113" s="177"/>
      <c r="H1113" s="177"/>
      <c r="I1113" s="177"/>
    </row>
    <row r="1114" spans="3:9" x14ac:dyDescent="0.25">
      <c r="C1114" s="177"/>
      <c r="D1114" s="177"/>
      <c r="E1114" s="177"/>
      <c r="F1114" s="177"/>
      <c r="G1114" s="177"/>
      <c r="H1114" s="177"/>
      <c r="I1114" s="177"/>
    </row>
    <row r="1115" spans="3:9" x14ac:dyDescent="0.25">
      <c r="C1115" s="177"/>
      <c r="D1115" s="177"/>
      <c r="E1115" s="177"/>
      <c r="F1115" s="177"/>
      <c r="G1115" s="177"/>
      <c r="H1115" s="177"/>
      <c r="I1115" s="177"/>
    </row>
    <row r="1116" spans="3:9" x14ac:dyDescent="0.25">
      <c r="C1116" s="177"/>
      <c r="D1116" s="177"/>
      <c r="E1116" s="177"/>
      <c r="F1116" s="177"/>
      <c r="G1116" s="177"/>
      <c r="H1116" s="177"/>
      <c r="I1116" s="177"/>
    </row>
    <row r="1117" spans="3:9" x14ac:dyDescent="0.25">
      <c r="C1117" s="177"/>
      <c r="D1117" s="177"/>
      <c r="E1117" s="177"/>
      <c r="F1117" s="177"/>
      <c r="G1117" s="177"/>
      <c r="H1117" s="177"/>
      <c r="I1117" s="177"/>
    </row>
    <row r="1118" spans="3:9" x14ac:dyDescent="0.25">
      <c r="C1118" s="177"/>
      <c r="D1118" s="177"/>
      <c r="E1118" s="177"/>
      <c r="F1118" s="177"/>
      <c r="G1118" s="177"/>
      <c r="H1118" s="177"/>
      <c r="I1118" s="177"/>
    </row>
    <row r="1119" spans="3:9" x14ac:dyDescent="0.25">
      <c r="C1119" s="177"/>
      <c r="D1119" s="177"/>
      <c r="E1119" s="177"/>
      <c r="F1119" s="177"/>
      <c r="G1119" s="177"/>
      <c r="H1119" s="177"/>
      <c r="I1119" s="177"/>
    </row>
    <row r="1120" spans="3:9" x14ac:dyDescent="0.25">
      <c r="C1120" s="177"/>
      <c r="D1120" s="177"/>
      <c r="E1120" s="177"/>
      <c r="F1120" s="177"/>
      <c r="G1120" s="177"/>
      <c r="H1120" s="177"/>
      <c r="I1120" s="177"/>
    </row>
    <row r="1121" spans="3:9" x14ac:dyDescent="0.25">
      <c r="C1121" s="177"/>
      <c r="D1121" s="177"/>
      <c r="E1121" s="177"/>
      <c r="F1121" s="177"/>
      <c r="G1121" s="177"/>
      <c r="H1121" s="177"/>
      <c r="I1121" s="177"/>
    </row>
    <row r="1122" spans="3:9" x14ac:dyDescent="0.25">
      <c r="C1122" s="177"/>
      <c r="D1122" s="177"/>
      <c r="E1122" s="177"/>
      <c r="F1122" s="177"/>
      <c r="G1122" s="177"/>
      <c r="H1122" s="177"/>
      <c r="I1122" s="177"/>
    </row>
    <row r="1123" spans="3:9" x14ac:dyDescent="0.25">
      <c r="C1123" s="177"/>
      <c r="D1123" s="177"/>
      <c r="E1123" s="177"/>
      <c r="F1123" s="177"/>
      <c r="G1123" s="177"/>
      <c r="H1123" s="177"/>
      <c r="I1123" s="177"/>
    </row>
    <row r="1124" spans="3:9" x14ac:dyDescent="0.25">
      <c r="C1124" s="177"/>
      <c r="D1124" s="177"/>
      <c r="E1124" s="177"/>
      <c r="F1124" s="177"/>
      <c r="G1124" s="177"/>
      <c r="H1124" s="177"/>
      <c r="I1124" s="177"/>
    </row>
    <row r="1125" spans="3:9" x14ac:dyDescent="0.25">
      <c r="C1125" s="177"/>
      <c r="D1125" s="177"/>
      <c r="E1125" s="177"/>
      <c r="F1125" s="177"/>
      <c r="G1125" s="177"/>
      <c r="H1125" s="177"/>
      <c r="I1125" s="177"/>
    </row>
    <row r="1126" spans="3:9" x14ac:dyDescent="0.25">
      <c r="C1126" s="177"/>
      <c r="D1126" s="177"/>
      <c r="E1126" s="177"/>
      <c r="F1126" s="177"/>
      <c r="G1126" s="177"/>
      <c r="H1126" s="177"/>
      <c r="I1126" s="177"/>
    </row>
    <row r="1127" spans="3:9" x14ac:dyDescent="0.25">
      <c r="C1127" s="177"/>
      <c r="D1127" s="177"/>
      <c r="E1127" s="177"/>
      <c r="F1127" s="177"/>
      <c r="G1127" s="177"/>
      <c r="H1127" s="177"/>
      <c r="I1127" s="177"/>
    </row>
    <row r="1128" spans="3:9" x14ac:dyDescent="0.25">
      <c r="C1128" s="177"/>
      <c r="D1128" s="177"/>
      <c r="E1128" s="177"/>
      <c r="F1128" s="177"/>
      <c r="G1128" s="177"/>
      <c r="H1128" s="177"/>
      <c r="I1128" s="177"/>
    </row>
    <row r="1129" spans="3:9" x14ac:dyDescent="0.25">
      <c r="C1129" s="177"/>
      <c r="D1129" s="177"/>
      <c r="E1129" s="177"/>
      <c r="F1129" s="177"/>
      <c r="G1129" s="177"/>
      <c r="H1129" s="177"/>
      <c r="I1129" s="177"/>
    </row>
    <row r="1130" spans="3:9" x14ac:dyDescent="0.25">
      <c r="C1130" s="177"/>
      <c r="D1130" s="177"/>
      <c r="E1130" s="177"/>
      <c r="F1130" s="177"/>
      <c r="G1130" s="177"/>
      <c r="H1130" s="177"/>
      <c r="I1130" s="177"/>
    </row>
    <row r="1131" spans="3:9" x14ac:dyDescent="0.25">
      <c r="C1131" s="177"/>
      <c r="D1131" s="177"/>
      <c r="E1131" s="177"/>
      <c r="F1131" s="177"/>
      <c r="G1131" s="177"/>
      <c r="H1131" s="177"/>
      <c r="I1131" s="177"/>
    </row>
    <row r="1132" spans="3:9" x14ac:dyDescent="0.25">
      <c r="C1132" s="177"/>
      <c r="D1132" s="177"/>
      <c r="E1132" s="177"/>
      <c r="F1132" s="177"/>
      <c r="G1132" s="177"/>
      <c r="H1132" s="177"/>
      <c r="I1132" s="177"/>
    </row>
    <row r="1133" spans="3:9" x14ac:dyDescent="0.25">
      <c r="C1133" s="177"/>
      <c r="D1133" s="177"/>
      <c r="E1133" s="177"/>
      <c r="F1133" s="177"/>
      <c r="G1133" s="177"/>
      <c r="H1133" s="177"/>
      <c r="I1133" s="177"/>
    </row>
    <row r="1134" spans="3:9" x14ac:dyDescent="0.25">
      <c r="C1134" s="177"/>
      <c r="D1134" s="177"/>
      <c r="E1134" s="177"/>
      <c r="F1134" s="177"/>
      <c r="G1134" s="177"/>
      <c r="H1134" s="177"/>
      <c r="I1134" s="177"/>
    </row>
    <row r="1135" spans="3:9" x14ac:dyDescent="0.25">
      <c r="C1135" s="177"/>
      <c r="D1135" s="177"/>
      <c r="E1135" s="177"/>
      <c r="F1135" s="177"/>
      <c r="G1135" s="177"/>
      <c r="H1135" s="177"/>
      <c r="I1135" s="177"/>
    </row>
    <row r="1136" spans="3:9" x14ac:dyDescent="0.25">
      <c r="C1136" s="177"/>
      <c r="D1136" s="177"/>
      <c r="E1136" s="177"/>
      <c r="F1136" s="177"/>
      <c r="G1136" s="177"/>
      <c r="H1136" s="177"/>
      <c r="I1136" s="177"/>
    </row>
    <row r="1137" spans="3:9" x14ac:dyDescent="0.25">
      <c r="C1137" s="177"/>
      <c r="D1137" s="177"/>
      <c r="E1137" s="177"/>
      <c r="F1137" s="177"/>
      <c r="G1137" s="177"/>
      <c r="H1137" s="177"/>
      <c r="I1137" s="177"/>
    </row>
    <row r="1138" spans="3:9" x14ac:dyDescent="0.25">
      <c r="C1138" s="177"/>
      <c r="D1138" s="177"/>
      <c r="E1138" s="177"/>
      <c r="F1138" s="177"/>
      <c r="G1138" s="177"/>
      <c r="H1138" s="177"/>
      <c r="I1138" s="177"/>
    </row>
    <row r="1139" spans="3:9" x14ac:dyDescent="0.25">
      <c r="C1139" s="177"/>
      <c r="D1139" s="177"/>
      <c r="E1139" s="177"/>
      <c r="F1139" s="177"/>
      <c r="G1139" s="177"/>
      <c r="H1139" s="177"/>
      <c r="I1139" s="177"/>
    </row>
    <row r="1140" spans="3:9" x14ac:dyDescent="0.25">
      <c r="C1140" s="177"/>
      <c r="D1140" s="177"/>
      <c r="E1140" s="177"/>
      <c r="F1140" s="177"/>
      <c r="G1140" s="177"/>
      <c r="H1140" s="177"/>
      <c r="I1140" s="177"/>
    </row>
    <row r="1141" spans="3:9" x14ac:dyDescent="0.25">
      <c r="C1141" s="177"/>
      <c r="D1141" s="177"/>
      <c r="E1141" s="177"/>
      <c r="F1141" s="177"/>
      <c r="G1141" s="177"/>
      <c r="H1141" s="177"/>
      <c r="I1141" s="177"/>
    </row>
    <row r="1142" spans="3:9" x14ac:dyDescent="0.25">
      <c r="C1142" s="177"/>
      <c r="D1142" s="177"/>
      <c r="E1142" s="177"/>
      <c r="F1142" s="177"/>
      <c r="G1142" s="177"/>
      <c r="H1142" s="177"/>
      <c r="I1142" s="177"/>
    </row>
    <row r="1143" spans="3:9" x14ac:dyDescent="0.25">
      <c r="C1143" s="177"/>
      <c r="D1143" s="177"/>
      <c r="E1143" s="177"/>
      <c r="F1143" s="177"/>
      <c r="G1143" s="177"/>
      <c r="H1143" s="177"/>
      <c r="I1143" s="177"/>
    </row>
    <row r="1144" spans="3:9" x14ac:dyDescent="0.25">
      <c r="C1144" s="177"/>
      <c r="D1144" s="177"/>
      <c r="E1144" s="177"/>
      <c r="F1144" s="177"/>
      <c r="G1144" s="177"/>
      <c r="H1144" s="177"/>
      <c r="I1144" s="177"/>
    </row>
    <row r="1145" spans="3:9" x14ac:dyDescent="0.25">
      <c r="C1145" s="177"/>
      <c r="D1145" s="177"/>
      <c r="E1145" s="177"/>
      <c r="F1145" s="177"/>
      <c r="G1145" s="177"/>
      <c r="H1145" s="177"/>
      <c r="I1145" s="177"/>
    </row>
    <row r="1146" spans="3:9" x14ac:dyDescent="0.25">
      <c r="C1146" s="177"/>
      <c r="D1146" s="177"/>
      <c r="E1146" s="177"/>
      <c r="F1146" s="177"/>
      <c r="G1146" s="177"/>
      <c r="H1146" s="177"/>
      <c r="I1146" s="177"/>
    </row>
    <row r="1147" spans="3:9" x14ac:dyDescent="0.25">
      <c r="C1147" s="177"/>
      <c r="D1147" s="177"/>
      <c r="E1147" s="177"/>
      <c r="F1147" s="177"/>
      <c r="G1147" s="177"/>
      <c r="H1147" s="177"/>
      <c r="I1147" s="177"/>
    </row>
    <row r="1148" spans="3:9" x14ac:dyDescent="0.25">
      <c r="C1148" s="177"/>
      <c r="D1148" s="177"/>
      <c r="E1148" s="177"/>
      <c r="F1148" s="177"/>
      <c r="G1148" s="177"/>
      <c r="H1148" s="177"/>
      <c r="I1148" s="177"/>
    </row>
    <row r="1149" spans="3:9" x14ac:dyDescent="0.25">
      <c r="C1149" s="177"/>
      <c r="D1149" s="177"/>
      <c r="E1149" s="177"/>
      <c r="F1149" s="177"/>
      <c r="G1149" s="177"/>
      <c r="H1149" s="177"/>
      <c r="I1149" s="177"/>
    </row>
    <row r="1150" spans="3:9" x14ac:dyDescent="0.25">
      <c r="C1150" s="177"/>
      <c r="D1150" s="177"/>
      <c r="E1150" s="177"/>
      <c r="F1150" s="177"/>
      <c r="G1150" s="177"/>
      <c r="H1150" s="177"/>
      <c r="I1150" s="177"/>
    </row>
    <row r="1151" spans="3:9" x14ac:dyDescent="0.25">
      <c r="C1151" s="177"/>
      <c r="D1151" s="177"/>
      <c r="E1151" s="177"/>
      <c r="F1151" s="177"/>
      <c r="G1151" s="177"/>
      <c r="H1151" s="177"/>
      <c r="I1151" s="177"/>
    </row>
    <row r="1152" spans="3:9" x14ac:dyDescent="0.25">
      <c r="C1152" s="177"/>
      <c r="D1152" s="177"/>
      <c r="E1152" s="177"/>
      <c r="F1152" s="177"/>
      <c r="G1152" s="177"/>
      <c r="H1152" s="177"/>
      <c r="I1152" s="177"/>
    </row>
    <row r="1153" spans="3:9" x14ac:dyDescent="0.25">
      <c r="C1153" s="177"/>
      <c r="D1153" s="177"/>
      <c r="E1153" s="177"/>
      <c r="F1153" s="177"/>
      <c r="G1153" s="177"/>
      <c r="H1153" s="177"/>
      <c r="I1153" s="177"/>
    </row>
    <row r="1154" spans="3:9" x14ac:dyDescent="0.25">
      <c r="C1154" s="177"/>
      <c r="D1154" s="177"/>
      <c r="E1154" s="177"/>
      <c r="F1154" s="177"/>
      <c r="G1154" s="177"/>
      <c r="H1154" s="177"/>
      <c r="I1154" s="177"/>
    </row>
    <row r="1155" spans="3:9" x14ac:dyDescent="0.25">
      <c r="C1155" s="177"/>
      <c r="D1155" s="177"/>
      <c r="E1155" s="177"/>
      <c r="F1155" s="177"/>
      <c r="G1155" s="177"/>
      <c r="H1155" s="177"/>
      <c r="I1155" s="177"/>
    </row>
    <row r="1156" spans="3:9" x14ac:dyDescent="0.25">
      <c r="C1156" s="177"/>
      <c r="D1156" s="177"/>
      <c r="E1156" s="177"/>
      <c r="F1156" s="177"/>
      <c r="G1156" s="177"/>
      <c r="H1156" s="177"/>
      <c r="I1156" s="177"/>
    </row>
    <row r="1157" spans="3:9" x14ac:dyDescent="0.25">
      <c r="C1157" s="177"/>
      <c r="D1157" s="177"/>
      <c r="E1157" s="177"/>
      <c r="F1157" s="177"/>
      <c r="G1157" s="177"/>
      <c r="H1157" s="177"/>
      <c r="I1157" s="177"/>
    </row>
    <row r="1158" spans="3:9" x14ac:dyDescent="0.25">
      <c r="C1158" s="177"/>
      <c r="D1158" s="177"/>
      <c r="E1158" s="177"/>
      <c r="F1158" s="177"/>
      <c r="G1158" s="177"/>
      <c r="H1158" s="177"/>
      <c r="I1158" s="177"/>
    </row>
    <row r="1159" spans="3:9" x14ac:dyDescent="0.25">
      <c r="C1159" s="177"/>
      <c r="D1159" s="177"/>
      <c r="E1159" s="177"/>
      <c r="F1159" s="177"/>
      <c r="G1159" s="177"/>
      <c r="H1159" s="177"/>
      <c r="I1159" s="177"/>
    </row>
    <row r="1160" spans="3:9" x14ac:dyDescent="0.25">
      <c r="C1160" s="177"/>
      <c r="D1160" s="177"/>
      <c r="E1160" s="177"/>
      <c r="F1160" s="177"/>
      <c r="G1160" s="177"/>
      <c r="H1160" s="177"/>
      <c r="I1160" s="177"/>
    </row>
    <row r="1161" spans="3:9" x14ac:dyDescent="0.25">
      <c r="C1161" s="177"/>
      <c r="D1161" s="177"/>
      <c r="E1161" s="177"/>
      <c r="F1161" s="177"/>
      <c r="G1161" s="177"/>
      <c r="H1161" s="177"/>
      <c r="I1161" s="177"/>
    </row>
    <row r="1162" spans="3:9" x14ac:dyDescent="0.25">
      <c r="C1162" s="177"/>
      <c r="D1162" s="177"/>
      <c r="E1162" s="177"/>
      <c r="F1162" s="177"/>
      <c r="G1162" s="177"/>
      <c r="H1162" s="177"/>
      <c r="I1162" s="177"/>
    </row>
    <row r="1163" spans="3:9" x14ac:dyDescent="0.25">
      <c r="C1163" s="177"/>
      <c r="D1163" s="177"/>
      <c r="E1163" s="177"/>
      <c r="F1163" s="177"/>
      <c r="G1163" s="177"/>
      <c r="H1163" s="177"/>
      <c r="I1163" s="177"/>
    </row>
    <row r="1164" spans="3:9" x14ac:dyDescent="0.25">
      <c r="C1164" s="177"/>
      <c r="D1164" s="177"/>
      <c r="E1164" s="177"/>
      <c r="F1164" s="177"/>
      <c r="G1164" s="177"/>
      <c r="H1164" s="177"/>
      <c r="I1164" s="177"/>
    </row>
    <row r="1165" spans="3:9" x14ac:dyDescent="0.25">
      <c r="C1165" s="177"/>
      <c r="D1165" s="177"/>
      <c r="E1165" s="177"/>
      <c r="F1165" s="177"/>
      <c r="G1165" s="177"/>
      <c r="H1165" s="177"/>
      <c r="I1165" s="177"/>
    </row>
    <row r="1166" spans="3:9" x14ac:dyDescent="0.25">
      <c r="C1166" s="177"/>
      <c r="D1166" s="177"/>
      <c r="E1166" s="177"/>
      <c r="F1166" s="177"/>
      <c r="G1166" s="177"/>
      <c r="H1166" s="177"/>
      <c r="I1166" s="177"/>
    </row>
    <row r="1167" spans="3:9" x14ac:dyDescent="0.25">
      <c r="C1167" s="177"/>
      <c r="D1167" s="177"/>
      <c r="E1167" s="177"/>
      <c r="F1167" s="177"/>
      <c r="G1167" s="177"/>
      <c r="H1167" s="177"/>
      <c r="I1167" s="177"/>
    </row>
    <row r="1168" spans="3:9" x14ac:dyDescent="0.25">
      <c r="C1168" s="177"/>
      <c r="D1168" s="177"/>
      <c r="E1168" s="177"/>
      <c r="F1168" s="177"/>
      <c r="G1168" s="177"/>
      <c r="H1168" s="177"/>
      <c r="I1168" s="177"/>
    </row>
    <row r="1169" spans="3:9" x14ac:dyDescent="0.25">
      <c r="C1169" s="177"/>
      <c r="D1169" s="177"/>
      <c r="E1169" s="177"/>
      <c r="F1169" s="177"/>
      <c r="G1169" s="177"/>
      <c r="H1169" s="177"/>
      <c r="I1169" s="177"/>
    </row>
    <row r="1170" spans="3:9" x14ac:dyDescent="0.25">
      <c r="C1170" s="177"/>
      <c r="D1170" s="177"/>
      <c r="E1170" s="177"/>
      <c r="F1170" s="177"/>
      <c r="G1170" s="177"/>
      <c r="H1170" s="177"/>
      <c r="I1170" s="177"/>
    </row>
    <row r="1171" spans="3:9" x14ac:dyDescent="0.25">
      <c r="C1171" s="177"/>
      <c r="D1171" s="177"/>
      <c r="E1171" s="177"/>
      <c r="F1171" s="177"/>
      <c r="G1171" s="177"/>
      <c r="H1171" s="177"/>
      <c r="I1171" s="177"/>
    </row>
    <row r="1172" spans="3:9" x14ac:dyDescent="0.25">
      <c r="C1172" s="177"/>
      <c r="D1172" s="177"/>
      <c r="E1172" s="177"/>
      <c r="F1172" s="177"/>
      <c r="G1172" s="177"/>
      <c r="H1172" s="177"/>
      <c r="I1172" s="177"/>
    </row>
    <row r="1173" spans="3:9" x14ac:dyDescent="0.25">
      <c r="C1173" s="177"/>
      <c r="D1173" s="177"/>
      <c r="E1173" s="177"/>
      <c r="F1173" s="177"/>
      <c r="G1173" s="177"/>
      <c r="H1173" s="177"/>
      <c r="I1173" s="177"/>
    </row>
    <row r="1174" spans="3:9" x14ac:dyDescent="0.25">
      <c r="C1174" s="177"/>
      <c r="D1174" s="177"/>
      <c r="E1174" s="177"/>
      <c r="F1174" s="177"/>
      <c r="G1174" s="177"/>
      <c r="H1174" s="177"/>
      <c r="I1174" s="177"/>
    </row>
    <row r="1175" spans="3:9" x14ac:dyDescent="0.25">
      <c r="C1175" s="177"/>
      <c r="D1175" s="177"/>
      <c r="E1175" s="177"/>
      <c r="F1175" s="177"/>
      <c r="G1175" s="177"/>
      <c r="H1175" s="177"/>
      <c r="I1175" s="177"/>
    </row>
    <row r="1176" spans="3:9" x14ac:dyDescent="0.25">
      <c r="C1176" s="177"/>
      <c r="D1176" s="177"/>
      <c r="E1176" s="177"/>
      <c r="F1176" s="177"/>
      <c r="G1176" s="177"/>
      <c r="H1176" s="177"/>
      <c r="I1176" s="177"/>
    </row>
    <row r="1177" spans="3:9" x14ac:dyDescent="0.25">
      <c r="C1177" s="177"/>
      <c r="D1177" s="177"/>
      <c r="E1177" s="177"/>
      <c r="F1177" s="177"/>
      <c r="G1177" s="177"/>
      <c r="H1177" s="177"/>
      <c r="I1177" s="177"/>
    </row>
    <row r="1178" spans="3:9" x14ac:dyDescent="0.25">
      <c r="C1178" s="177"/>
      <c r="D1178" s="177"/>
      <c r="E1178" s="177"/>
      <c r="F1178" s="177"/>
      <c r="G1178" s="177"/>
      <c r="H1178" s="177"/>
      <c r="I1178" s="177"/>
    </row>
    <row r="1179" spans="3:9" x14ac:dyDescent="0.25">
      <c r="C1179" s="177"/>
      <c r="D1179" s="177"/>
      <c r="E1179" s="177"/>
      <c r="F1179" s="177"/>
      <c r="G1179" s="177"/>
      <c r="H1179" s="177"/>
      <c r="I1179" s="177"/>
    </row>
    <row r="1180" spans="3:9" x14ac:dyDescent="0.25">
      <c r="C1180" s="177"/>
      <c r="D1180" s="177"/>
      <c r="E1180" s="177"/>
      <c r="F1180" s="177"/>
      <c r="G1180" s="177"/>
      <c r="H1180" s="177"/>
      <c r="I1180" s="177"/>
    </row>
    <row r="1181" spans="3:9" x14ac:dyDescent="0.25">
      <c r="C1181" s="177"/>
      <c r="D1181" s="177"/>
      <c r="E1181" s="177"/>
      <c r="F1181" s="177"/>
      <c r="G1181" s="177"/>
      <c r="H1181" s="177"/>
      <c r="I1181" s="177"/>
    </row>
    <row r="1182" spans="3:9" x14ac:dyDescent="0.25">
      <c r="C1182" s="177"/>
      <c r="D1182" s="177"/>
      <c r="E1182" s="177"/>
      <c r="F1182" s="177"/>
      <c r="G1182" s="177"/>
      <c r="H1182" s="177"/>
      <c r="I1182" s="177"/>
    </row>
    <row r="1183" spans="3:9" x14ac:dyDescent="0.25">
      <c r="C1183" s="177"/>
      <c r="D1183" s="177"/>
      <c r="E1183" s="177"/>
      <c r="F1183" s="177"/>
      <c r="G1183" s="177"/>
      <c r="H1183" s="177"/>
      <c r="I1183" s="177"/>
    </row>
    <row r="1184" spans="3:9" x14ac:dyDescent="0.25">
      <c r="C1184" s="177"/>
      <c r="D1184" s="177"/>
      <c r="E1184" s="177"/>
      <c r="F1184" s="177"/>
      <c r="G1184" s="177"/>
      <c r="H1184" s="177"/>
      <c r="I1184" s="177"/>
    </row>
    <row r="1185" spans="3:9" x14ac:dyDescent="0.25">
      <c r="C1185" s="177"/>
      <c r="D1185" s="177"/>
      <c r="E1185" s="177"/>
      <c r="F1185" s="177"/>
      <c r="G1185" s="177"/>
      <c r="H1185" s="177"/>
      <c r="I1185" s="177"/>
    </row>
    <row r="1186" spans="3:9" x14ac:dyDescent="0.25">
      <c r="C1186" s="177"/>
      <c r="D1186" s="177"/>
      <c r="E1186" s="177"/>
      <c r="F1186" s="177"/>
      <c r="G1186" s="177"/>
      <c r="H1186" s="177"/>
      <c r="I1186" s="177"/>
    </row>
    <row r="1187" spans="3:9" x14ac:dyDescent="0.25">
      <c r="C1187" s="177"/>
      <c r="D1187" s="177"/>
      <c r="E1187" s="177"/>
      <c r="F1187" s="177"/>
      <c r="G1187" s="177"/>
      <c r="H1187" s="177"/>
      <c r="I1187" s="177"/>
    </row>
    <row r="1188" spans="3:9" x14ac:dyDescent="0.25">
      <c r="C1188" s="177"/>
      <c r="D1188" s="177"/>
      <c r="E1188" s="177"/>
      <c r="F1188" s="177"/>
      <c r="G1188" s="177"/>
      <c r="H1188" s="177"/>
      <c r="I1188" s="177"/>
    </row>
    <row r="1189" spans="3:9" x14ac:dyDescent="0.25">
      <c r="C1189" s="177"/>
      <c r="D1189" s="177"/>
      <c r="E1189" s="177"/>
      <c r="F1189" s="177"/>
      <c r="G1189" s="177"/>
      <c r="H1189" s="177"/>
      <c r="I1189" s="177"/>
    </row>
    <row r="1190" spans="3:9" x14ac:dyDescent="0.25">
      <c r="C1190" s="177"/>
      <c r="D1190" s="177"/>
      <c r="E1190" s="177"/>
      <c r="F1190" s="177"/>
      <c r="G1190" s="177"/>
      <c r="H1190" s="177"/>
      <c r="I1190" s="177"/>
    </row>
    <row r="1191" spans="3:9" x14ac:dyDescent="0.25">
      <c r="C1191" s="177"/>
      <c r="D1191" s="177"/>
      <c r="E1191" s="177"/>
      <c r="F1191" s="177"/>
      <c r="G1191" s="177"/>
      <c r="H1191" s="177"/>
      <c r="I1191" s="177"/>
    </row>
    <row r="1192" spans="3:9" x14ac:dyDescent="0.25">
      <c r="C1192" s="177"/>
      <c r="D1192" s="177"/>
      <c r="E1192" s="177"/>
      <c r="F1192" s="177"/>
      <c r="G1192" s="177"/>
      <c r="H1192" s="177"/>
      <c r="I1192" s="177"/>
    </row>
    <row r="1193" spans="3:9" x14ac:dyDescent="0.25">
      <c r="C1193" s="177"/>
      <c r="D1193" s="177"/>
      <c r="E1193" s="177"/>
      <c r="F1193" s="177"/>
      <c r="G1193" s="177"/>
      <c r="H1193" s="177"/>
      <c r="I1193" s="177"/>
    </row>
    <row r="1194" spans="3:9" x14ac:dyDescent="0.25">
      <c r="C1194" s="177"/>
      <c r="D1194" s="177"/>
      <c r="E1194" s="177"/>
      <c r="F1194" s="177"/>
      <c r="G1194" s="177"/>
      <c r="H1194" s="177"/>
      <c r="I1194" s="177"/>
    </row>
    <row r="1195" spans="3:9" x14ac:dyDescent="0.25">
      <c r="C1195" s="177"/>
      <c r="D1195" s="177"/>
      <c r="E1195" s="177"/>
      <c r="F1195" s="177"/>
      <c r="G1195" s="177"/>
      <c r="H1195" s="177"/>
      <c r="I1195" s="177"/>
    </row>
    <row r="1196" spans="3:9" x14ac:dyDescent="0.25">
      <c r="C1196" s="177"/>
      <c r="D1196" s="177"/>
      <c r="E1196" s="177"/>
      <c r="F1196" s="177"/>
      <c r="G1196" s="177"/>
      <c r="H1196" s="177"/>
      <c r="I1196" s="177"/>
    </row>
    <row r="1197" spans="3:9" x14ac:dyDescent="0.25">
      <c r="C1197" s="177"/>
      <c r="D1197" s="177"/>
      <c r="E1197" s="177"/>
      <c r="F1197" s="177"/>
      <c r="G1197" s="177"/>
      <c r="H1197" s="177"/>
      <c r="I1197" s="177"/>
    </row>
    <row r="1198" spans="3:9" x14ac:dyDescent="0.25">
      <c r="C1198" s="177"/>
      <c r="D1198" s="177"/>
      <c r="E1198" s="177"/>
      <c r="F1198" s="177"/>
      <c r="G1198" s="177"/>
      <c r="H1198" s="177"/>
      <c r="I1198" s="177"/>
    </row>
    <row r="1199" spans="3:9" x14ac:dyDescent="0.25">
      <c r="C1199" s="177"/>
      <c r="D1199" s="177"/>
      <c r="E1199" s="177"/>
      <c r="F1199" s="177"/>
      <c r="G1199" s="177"/>
      <c r="H1199" s="177"/>
      <c r="I1199" s="177"/>
    </row>
  </sheetData>
  <sheetProtection formatCells="0" formatColumns="0" formatRows="0" insertColumns="0" insertRows="0" deleteColumns="0" deleteRows="0"/>
  <mergeCells count="4">
    <mergeCell ref="D13:E13"/>
    <mergeCell ref="F13:G13"/>
    <mergeCell ref="K1:L1"/>
    <mergeCell ref="K16:L16"/>
  </mergeCells>
  <pageMargins left="0.7" right="0.7" top="0.75" bottom="0.75" header="0.3" footer="0.3"/>
  <pageSetup orientation="portrait" verticalDpi="598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875DD-7573-4924-9222-8A40D7C9CAEA}">
  <dimension ref="B1:I18"/>
  <sheetViews>
    <sheetView workbookViewId="0">
      <selection activeCell="D3" sqref="D3"/>
    </sheetView>
  </sheetViews>
  <sheetFormatPr baseColWidth="10" defaultColWidth="11.42578125" defaultRowHeight="15" x14ac:dyDescent="0.25"/>
  <cols>
    <col min="1" max="1" width="2.7109375" style="5" customWidth="1"/>
    <col min="2" max="2" width="38" style="5" bestFit="1" customWidth="1"/>
    <col min="3" max="3" width="14.42578125" style="5" bestFit="1" customWidth="1"/>
    <col min="4" max="4" width="13" style="5" bestFit="1" customWidth="1"/>
    <col min="5" max="5" width="2.7109375" style="5" customWidth="1"/>
    <col min="6" max="6" width="38.5703125" style="5" customWidth="1"/>
    <col min="7" max="7" width="32" style="5" customWidth="1"/>
    <col min="8" max="8" width="12.7109375" style="5" bestFit="1" customWidth="1"/>
    <col min="9" max="16384" width="11.42578125" style="5"/>
  </cols>
  <sheetData>
    <row r="1" spans="2:9" ht="18.75" x14ac:dyDescent="0.3">
      <c r="B1" s="9" t="s">
        <v>194</v>
      </c>
      <c r="C1" s="10"/>
      <c r="D1" s="11"/>
      <c r="E1" s="11"/>
      <c r="F1" s="11"/>
      <c r="G1" s="11"/>
    </row>
    <row r="2" spans="2:9" x14ac:dyDescent="0.25">
      <c r="B2" s="11"/>
      <c r="C2" s="41" t="s">
        <v>196</v>
      </c>
      <c r="D2" s="41" t="s">
        <v>195</v>
      </c>
      <c r="E2" s="11"/>
      <c r="F2" s="623" t="s">
        <v>212</v>
      </c>
      <c r="G2" s="621"/>
      <c r="H2" s="624"/>
      <c r="I2" s="625"/>
    </row>
    <row r="3" spans="2:9" x14ac:dyDescent="0.25">
      <c r="B3" s="512" t="s">
        <v>52</v>
      </c>
      <c r="C3" s="225">
        <f>Loyer</f>
        <v>36000</v>
      </c>
      <c r="D3" s="563"/>
      <c r="E3" s="3"/>
      <c r="F3" s="180"/>
      <c r="G3" s="181" t="s">
        <v>343</v>
      </c>
      <c r="H3" s="630">
        <f>Total_Machinerie</f>
        <v>549000</v>
      </c>
      <c r="I3" s="625"/>
    </row>
    <row r="4" spans="2:9" x14ac:dyDescent="0.25">
      <c r="B4" s="513" t="s">
        <v>51</v>
      </c>
      <c r="C4" s="226">
        <f>Elec_Bureaux</f>
        <v>4000</v>
      </c>
      <c r="D4" s="564"/>
      <c r="E4" s="12"/>
      <c r="F4" s="227"/>
      <c r="G4" s="183" t="s">
        <v>344</v>
      </c>
      <c r="H4" s="7">
        <f>Prix_Revente</f>
        <v>192150</v>
      </c>
      <c r="I4" s="626"/>
    </row>
    <row r="5" spans="2:9" x14ac:dyDescent="0.25">
      <c r="B5" s="513" t="s">
        <v>50</v>
      </c>
      <c r="C5" s="226">
        <f>Total_Admin</f>
        <v>214000</v>
      </c>
      <c r="D5" s="565"/>
      <c r="E5" s="2"/>
      <c r="F5" s="227"/>
      <c r="G5" s="183" t="s">
        <v>345</v>
      </c>
      <c r="H5" s="5">
        <v>5</v>
      </c>
      <c r="I5" s="626"/>
    </row>
    <row r="6" spans="2:9" x14ac:dyDescent="0.25">
      <c r="B6" s="513" t="s">
        <v>49</v>
      </c>
      <c r="C6" s="635">
        <f>C5+(C5*ASociaux)</f>
        <v>256800</v>
      </c>
      <c r="D6" s="566"/>
      <c r="E6" s="3"/>
      <c r="F6" s="632" t="s">
        <v>331</v>
      </c>
      <c r="G6" s="183"/>
      <c r="I6" s="626"/>
    </row>
    <row r="7" spans="2:9" x14ac:dyDescent="0.25">
      <c r="B7" s="513" t="s">
        <v>48</v>
      </c>
      <c r="C7" s="226">
        <f>Taxes_Municip</f>
        <v>6400</v>
      </c>
      <c r="D7" s="566"/>
      <c r="E7" s="3"/>
      <c r="F7" s="53" t="s">
        <v>351</v>
      </c>
      <c r="G7" s="183" t="s">
        <v>350</v>
      </c>
      <c r="H7" s="7">
        <f>C5</f>
        <v>214000</v>
      </c>
      <c r="I7" s="626"/>
    </row>
    <row r="8" spans="2:9" x14ac:dyDescent="0.25">
      <c r="B8" s="514" t="s">
        <v>103</v>
      </c>
      <c r="C8" s="226">
        <f>Telephonie</f>
        <v>3600</v>
      </c>
      <c r="D8" s="566"/>
      <c r="E8" s="3"/>
      <c r="F8" s="53"/>
      <c r="G8" s="183"/>
      <c r="I8" s="626"/>
    </row>
    <row r="9" spans="2:9" x14ac:dyDescent="0.25">
      <c r="B9" s="513" t="s">
        <v>47</v>
      </c>
      <c r="C9" s="226">
        <f>Assurances</f>
        <v>13000</v>
      </c>
      <c r="D9" s="566"/>
      <c r="E9" s="3"/>
      <c r="F9" s="53"/>
      <c r="G9" s="183"/>
      <c r="I9" s="626"/>
    </row>
    <row r="10" spans="2:9" x14ac:dyDescent="0.25">
      <c r="B10" s="515" t="s">
        <v>210</v>
      </c>
      <c r="C10" s="228">
        <f>Autre_Frais_Fixes</f>
        <v>2000</v>
      </c>
      <c r="D10" s="566"/>
      <c r="E10" s="3"/>
      <c r="F10" s="53"/>
      <c r="G10" s="183"/>
      <c r="I10" s="626"/>
    </row>
    <row r="11" spans="2:9" ht="15.75" thickBot="1" x14ac:dyDescent="0.3">
      <c r="B11" s="513" t="s">
        <v>46</v>
      </c>
      <c r="C11" s="228">
        <f>Entretien_Batiment</f>
        <v>5000</v>
      </c>
      <c r="D11" s="567"/>
      <c r="F11" s="53"/>
      <c r="G11" s="183"/>
      <c r="I11" s="626"/>
    </row>
    <row r="12" spans="2:9" ht="16.5" thickBot="1" x14ac:dyDescent="0.3">
      <c r="B12" s="516" t="s">
        <v>92</v>
      </c>
      <c r="C12" s="631">
        <f>(H3-H4)/H5</f>
        <v>71370</v>
      </c>
      <c r="D12" s="567"/>
      <c r="F12" s="632" t="s">
        <v>329</v>
      </c>
      <c r="G12" s="633"/>
      <c r="H12" s="687" t="s">
        <v>346</v>
      </c>
      <c r="I12" s="688"/>
    </row>
    <row r="13" spans="2:9" x14ac:dyDescent="0.25">
      <c r="B13" s="516" t="s">
        <v>93</v>
      </c>
      <c r="C13" s="635">
        <f>F17/H5</f>
        <v>11866.910560467837</v>
      </c>
      <c r="D13" s="567"/>
      <c r="F13" s="632" t="s">
        <v>330</v>
      </c>
      <c r="G13" s="636"/>
      <c r="H13" s="637"/>
      <c r="I13" s="626"/>
    </row>
    <row r="14" spans="2:9" x14ac:dyDescent="0.25">
      <c r="B14" s="39"/>
      <c r="C14" s="229"/>
      <c r="D14" s="567"/>
      <c r="F14" s="53"/>
      <c r="G14" s="622"/>
      <c r="I14" s="626"/>
    </row>
    <row r="15" spans="2:9" x14ac:dyDescent="0.25">
      <c r="B15" s="40"/>
      <c r="C15" s="230"/>
      <c r="D15" s="568"/>
      <c r="F15" s="53" t="s">
        <v>348</v>
      </c>
      <c r="G15" s="622" t="s">
        <v>347</v>
      </c>
      <c r="I15" s="626"/>
    </row>
    <row r="16" spans="2:9" x14ac:dyDescent="0.25">
      <c r="F16" s="639" t="s">
        <v>349</v>
      </c>
      <c r="G16" s="183"/>
      <c r="I16" s="626"/>
    </row>
    <row r="17" spans="2:9" ht="15.75" thickBot="1" x14ac:dyDescent="0.3">
      <c r="B17" s="8" t="s">
        <v>193</v>
      </c>
      <c r="C17" s="231">
        <f>SUM(C3:C13)</f>
        <v>624036.91056046786</v>
      </c>
      <c r="F17" s="638">
        <f>CoutEmprunt</f>
        <v>59334.552802339182</v>
      </c>
      <c r="G17" s="627"/>
      <c r="H17" s="628"/>
      <c r="I17" s="629"/>
    </row>
    <row r="18" spans="2:9" ht="15.75" thickTop="1" x14ac:dyDescent="0.25"/>
  </sheetData>
  <sheetProtection formatCells="0" formatColumns="0" formatRows="0" insertColumns="0" insertRows="0" deleteColumns="0" deleteRows="0"/>
  <mergeCells count="1">
    <mergeCell ref="H12:I12"/>
  </mergeCell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5C9A6-4875-4F5E-BCD6-A5D0100E13D2}">
  <dimension ref="B1:N33"/>
  <sheetViews>
    <sheetView workbookViewId="0">
      <selection activeCell="G16" sqref="G16"/>
    </sheetView>
  </sheetViews>
  <sheetFormatPr baseColWidth="10" defaultColWidth="11.42578125" defaultRowHeight="15" x14ac:dyDescent="0.25"/>
  <cols>
    <col min="1" max="1" width="2.7109375" style="5" customWidth="1"/>
    <col min="2" max="2" width="11.42578125" style="5"/>
    <col min="3" max="3" width="23.5703125" style="5" customWidth="1"/>
    <col min="4" max="4" width="14.42578125" style="5" bestFit="1" customWidth="1"/>
    <col min="5" max="5" width="13" style="5" bestFit="1" customWidth="1"/>
    <col min="6" max="6" width="2.7109375" style="5" customWidth="1"/>
    <col min="7" max="8" width="18.7109375" style="5" customWidth="1"/>
    <col min="9" max="9" width="13" style="5" bestFit="1" customWidth="1"/>
    <col min="10" max="10" width="21.7109375" style="5" customWidth="1"/>
    <col min="11" max="11" width="13" style="5" bestFit="1" customWidth="1"/>
    <col min="12" max="16384" width="11.42578125" style="5"/>
  </cols>
  <sheetData>
    <row r="1" spans="2:14" ht="19.5" thickBot="1" x14ac:dyDescent="0.35">
      <c r="B1" s="4" t="s">
        <v>45</v>
      </c>
    </row>
    <row r="2" spans="2:14" ht="15.75" thickBot="1" x14ac:dyDescent="0.3">
      <c r="E2" s="37" t="s">
        <v>139</v>
      </c>
      <c r="F2" s="37"/>
      <c r="G2" s="695" t="s">
        <v>212</v>
      </c>
      <c r="H2" s="696"/>
    </row>
    <row r="3" spans="2:14" x14ac:dyDescent="0.25">
      <c r="B3" s="689" t="s">
        <v>83</v>
      </c>
      <c r="C3" s="640" t="s">
        <v>352</v>
      </c>
      <c r="D3" s="642">
        <f>L3+(L3*L4)</f>
        <v>699660</v>
      </c>
      <c r="E3" s="692">
        <f>SUM(D3:D10)</f>
        <v>784012</v>
      </c>
      <c r="F3" s="38"/>
      <c r="G3" s="480" t="s">
        <v>286</v>
      </c>
      <c r="H3" s="481" t="s">
        <v>287</v>
      </c>
      <c r="J3" s="699" t="s">
        <v>353</v>
      </c>
      <c r="K3" s="700"/>
      <c r="L3" s="647">
        <f>Total_MO-Salaire_Tech_entretien</f>
        <v>583050</v>
      </c>
    </row>
    <row r="4" spans="2:14" ht="15.75" thickBot="1" x14ac:dyDescent="0.3">
      <c r="B4" s="690"/>
      <c r="C4" s="482" t="s">
        <v>295</v>
      </c>
      <c r="D4" s="219">
        <f>Consommables</f>
        <v>6125</v>
      </c>
      <c r="E4" s="693"/>
      <c r="F4" s="38"/>
      <c r="G4" s="482" t="s">
        <v>288</v>
      </c>
      <c r="H4" s="483"/>
      <c r="J4" s="697" t="s">
        <v>354</v>
      </c>
      <c r="K4" s="698"/>
      <c r="L4" s="648">
        <f>ASociaux</f>
        <v>0.2</v>
      </c>
    </row>
    <row r="5" spans="2:14" ht="15.75" thickBot="1" x14ac:dyDescent="0.3">
      <c r="B5" s="690"/>
      <c r="C5" s="491" t="s">
        <v>36</v>
      </c>
      <c r="D5" s="219">
        <f>Elec_Prod</f>
        <v>10250</v>
      </c>
      <c r="E5" s="693"/>
      <c r="F5" s="38"/>
      <c r="G5" s="484" t="s">
        <v>289</v>
      </c>
      <c r="H5" s="485"/>
    </row>
    <row r="6" spans="2:14" x14ac:dyDescent="0.25">
      <c r="B6" s="690"/>
      <c r="C6" s="645" t="s">
        <v>355</v>
      </c>
      <c r="D6" s="219">
        <f>MatierePrem</f>
        <v>67977</v>
      </c>
      <c r="E6" s="693"/>
      <c r="F6" s="38"/>
      <c r="G6" s="487" t="s">
        <v>296</v>
      </c>
      <c r="H6" s="481" t="s">
        <v>290</v>
      </c>
    </row>
    <row r="7" spans="2:14" x14ac:dyDescent="0.25">
      <c r="B7" s="690"/>
      <c r="C7" s="489"/>
      <c r="D7" s="219"/>
      <c r="E7" s="693"/>
      <c r="F7" s="38"/>
      <c r="G7" s="488" t="s">
        <v>291</v>
      </c>
      <c r="H7" s="483"/>
    </row>
    <row r="8" spans="2:14" x14ac:dyDescent="0.25">
      <c r="B8" s="690"/>
      <c r="C8" s="489"/>
      <c r="D8" s="219"/>
      <c r="E8" s="693"/>
      <c r="F8" s="38"/>
      <c r="G8" s="482" t="s">
        <v>292</v>
      </c>
      <c r="H8" s="483"/>
    </row>
    <row r="9" spans="2:14" ht="15.75" thickBot="1" x14ac:dyDescent="0.3">
      <c r="B9" s="690"/>
      <c r="C9" s="489"/>
      <c r="D9" s="219"/>
      <c r="E9" s="693"/>
      <c r="F9" s="38"/>
      <c r="G9" s="484" t="s">
        <v>293</v>
      </c>
      <c r="H9" s="485"/>
    </row>
    <row r="10" spans="2:14" ht="15.75" thickBot="1" x14ac:dyDescent="0.3">
      <c r="B10" s="691"/>
      <c r="C10" s="490"/>
      <c r="D10" s="486"/>
      <c r="E10" s="694"/>
      <c r="F10" s="38"/>
      <c r="G10" s="412"/>
      <c r="H10" s="54"/>
    </row>
    <row r="11" spans="2:14" ht="15.75" thickBot="1" x14ac:dyDescent="0.3">
      <c r="G11" s="643" t="s">
        <v>332</v>
      </c>
      <c r="H11" s="644"/>
      <c r="I11" s="637"/>
      <c r="J11" s="637"/>
      <c r="K11" s="637"/>
    </row>
    <row r="12" spans="2:14" ht="21" x14ac:dyDescent="0.35">
      <c r="B12" s="689" t="s">
        <v>84</v>
      </c>
      <c r="C12" s="487" t="s">
        <v>296</v>
      </c>
      <c r="D12" s="492">
        <f>Entretien_Equipement</f>
        <v>7500</v>
      </c>
      <c r="E12" s="692">
        <f>SUM(D12:D19)</f>
        <v>167400</v>
      </c>
      <c r="F12" s="38"/>
      <c r="G12" s="632" t="s">
        <v>333</v>
      </c>
      <c r="H12" s="644"/>
      <c r="I12" s="637"/>
      <c r="J12" s="637"/>
      <c r="K12" s="637"/>
      <c r="L12" s="646" t="s">
        <v>356</v>
      </c>
      <c r="M12" s="637"/>
      <c r="N12" s="637"/>
    </row>
    <row r="13" spans="2:14" x14ac:dyDescent="0.25">
      <c r="B13" s="690"/>
      <c r="C13" s="488" t="s">
        <v>291</v>
      </c>
      <c r="D13" s="219"/>
      <c r="E13" s="693"/>
      <c r="F13" s="38"/>
      <c r="G13" s="53"/>
      <c r="H13" s="54"/>
    </row>
    <row r="14" spans="2:14" x14ac:dyDescent="0.25">
      <c r="B14" s="690"/>
      <c r="C14" s="482" t="s">
        <v>292</v>
      </c>
      <c r="D14" s="220"/>
      <c r="E14" s="693"/>
      <c r="F14" s="38"/>
      <c r="G14" s="498" t="s">
        <v>297</v>
      </c>
      <c r="H14" s="221"/>
    </row>
    <row r="15" spans="2:14" x14ac:dyDescent="0.25">
      <c r="B15" s="690"/>
      <c r="C15" s="482" t="s">
        <v>293</v>
      </c>
      <c r="D15" s="220">
        <f>Salaire_Contremaitres</f>
        <v>159900</v>
      </c>
      <c r="E15" s="693"/>
      <c r="F15" s="38"/>
      <c r="G15" s="53"/>
      <c r="H15" s="221"/>
    </row>
    <row r="16" spans="2:14" x14ac:dyDescent="0.25">
      <c r="B16" s="690"/>
      <c r="C16" s="489" t="str">
        <f>DonnéesProd!A36</f>
        <v>Avantages sociaux</v>
      </c>
      <c r="D16" s="606"/>
      <c r="E16" s="693"/>
      <c r="F16" s="38"/>
      <c r="G16" s="605" t="s">
        <v>334</v>
      </c>
      <c r="H16" s="54"/>
    </row>
    <row r="17" spans="2:8" x14ac:dyDescent="0.25">
      <c r="B17" s="690"/>
      <c r="C17" s="489"/>
      <c r="D17" s="219"/>
      <c r="E17" s="693"/>
      <c r="F17" s="38"/>
      <c r="G17" s="53"/>
      <c r="H17" s="54"/>
    </row>
    <row r="18" spans="2:8" x14ac:dyDescent="0.25">
      <c r="B18" s="690"/>
      <c r="C18" s="489"/>
      <c r="D18" s="222"/>
      <c r="E18" s="693"/>
      <c r="F18" s="38"/>
      <c r="G18" s="53"/>
      <c r="H18" s="54"/>
    </row>
    <row r="19" spans="2:8" ht="15.75" thickBot="1" x14ac:dyDescent="0.3">
      <c r="B19" s="691"/>
      <c r="C19" s="490"/>
      <c r="D19" s="486"/>
      <c r="E19" s="694"/>
      <c r="F19" s="38"/>
      <c r="G19" s="53"/>
      <c r="H19" s="54"/>
    </row>
    <row r="20" spans="2:8" x14ac:dyDescent="0.25">
      <c r="G20" s="53"/>
      <c r="H20" s="54"/>
    </row>
    <row r="21" spans="2:8" ht="15.75" thickBot="1" x14ac:dyDescent="0.3">
      <c r="C21" s="8" t="s">
        <v>192</v>
      </c>
      <c r="D21" s="604">
        <f>E3+E12</f>
        <v>951412</v>
      </c>
      <c r="G21" s="223"/>
      <c r="H21" s="224"/>
    </row>
    <row r="22" spans="2:8" ht="15.75" thickTop="1" x14ac:dyDescent="0.25"/>
    <row r="25" spans="2:8" x14ac:dyDescent="0.25">
      <c r="E25" s="44"/>
      <c r="F25" s="44"/>
    </row>
    <row r="27" spans="2:8" x14ac:dyDescent="0.25">
      <c r="D27" s="6"/>
    </row>
    <row r="28" spans="2:8" x14ac:dyDescent="0.25">
      <c r="C28" s="6"/>
    </row>
    <row r="30" spans="2:8" x14ac:dyDescent="0.25">
      <c r="C30" s="6"/>
    </row>
    <row r="31" spans="2:8" x14ac:dyDescent="0.25">
      <c r="C31" s="6"/>
      <c r="D31" s="7"/>
    </row>
    <row r="33" spans="3:6" x14ac:dyDescent="0.25">
      <c r="C33" s="6"/>
      <c r="D33" s="7"/>
      <c r="E33" s="7"/>
      <c r="F33" s="7"/>
    </row>
  </sheetData>
  <sheetProtection formatCells="0" formatColumns="0" formatRows="0" insertColumns="0" insertRows="0" deleteColumns="0" deleteRows="0"/>
  <mergeCells count="7">
    <mergeCell ref="B12:B19"/>
    <mergeCell ref="E12:E19"/>
    <mergeCell ref="G2:H2"/>
    <mergeCell ref="J4:K4"/>
    <mergeCell ref="J3:K3"/>
    <mergeCell ref="E3:E10"/>
    <mergeCell ref="B3:B10"/>
  </mergeCells>
  <pageMargins left="0.25" right="0.25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FAB179-CF1C-4D44-BB33-B2B4ABEA8ECD}">
  <dimension ref="B1:I33"/>
  <sheetViews>
    <sheetView topLeftCell="A12" workbookViewId="0">
      <selection activeCell="C4" sqref="C4"/>
    </sheetView>
  </sheetViews>
  <sheetFormatPr baseColWidth="10" defaultColWidth="11.42578125" defaultRowHeight="15" x14ac:dyDescent="0.25"/>
  <cols>
    <col min="1" max="1" width="2.7109375" style="5" customWidth="1"/>
    <col min="2" max="2" width="32.7109375" style="5" customWidth="1"/>
    <col min="3" max="3" width="16.85546875" style="5" customWidth="1"/>
    <col min="4" max="4" width="8.28515625" style="5" bestFit="1" customWidth="1"/>
    <col min="5" max="5" width="4.7109375" style="5" customWidth="1"/>
    <col min="6" max="6" width="23.28515625" style="5" customWidth="1"/>
    <col min="7" max="7" width="18.7109375" style="5" customWidth="1"/>
    <col min="8" max="16384" width="11.42578125" style="5"/>
  </cols>
  <sheetData>
    <row r="1" spans="2:9" ht="18.75" x14ac:dyDescent="0.3">
      <c r="B1" s="4" t="s">
        <v>85</v>
      </c>
    </row>
    <row r="2" spans="2:9" ht="15.75" thickBot="1" x14ac:dyDescent="0.3">
      <c r="F2" s="701" t="s">
        <v>212</v>
      </c>
      <c r="G2" s="702"/>
    </row>
    <row r="3" spans="2:9" x14ac:dyDescent="0.25">
      <c r="B3" s="5" t="s">
        <v>86</v>
      </c>
      <c r="C3" s="607">
        <f>CF_Totaux</f>
        <v>624036.91056046786</v>
      </c>
      <c r="E3" s="572" t="s">
        <v>315</v>
      </c>
      <c r="F3" s="480" t="s">
        <v>298</v>
      </c>
      <c r="G3" s="481"/>
    </row>
    <row r="4" spans="2:9" x14ac:dyDescent="0.25">
      <c r="B4" s="5" t="s">
        <v>87</v>
      </c>
      <c r="C4" s="608">
        <f>CV_Totaux</f>
        <v>951412</v>
      </c>
      <c r="E4" s="572" t="s">
        <v>316</v>
      </c>
      <c r="F4" s="517"/>
      <c r="G4" s="518"/>
    </row>
    <row r="5" spans="2:9" x14ac:dyDescent="0.25">
      <c r="F5" s="519"/>
      <c r="G5" s="483"/>
    </row>
    <row r="6" spans="2:9" x14ac:dyDescent="0.25">
      <c r="B6" s="234" t="s">
        <v>199</v>
      </c>
      <c r="C6" s="232">
        <f>NbItems</f>
        <v>7500</v>
      </c>
      <c r="D6" s="234" t="s">
        <v>198</v>
      </c>
      <c r="F6" s="520" t="s">
        <v>359</v>
      </c>
      <c r="G6" s="521"/>
    </row>
    <row r="7" spans="2:9" ht="15.75" thickBot="1" x14ac:dyDescent="0.3">
      <c r="F7" s="484"/>
      <c r="G7" s="485"/>
    </row>
    <row r="8" spans="2:9" x14ac:dyDescent="0.25">
      <c r="B8" s="263" t="s">
        <v>215</v>
      </c>
      <c r="C8" s="649">
        <f>(C3+C4)/C6</f>
        <v>210.0598547413957</v>
      </c>
      <c r="E8" s="573" t="s">
        <v>317</v>
      </c>
      <c r="F8" s="183" t="s">
        <v>357</v>
      </c>
      <c r="G8" s="54"/>
    </row>
    <row r="9" spans="2:9" x14ac:dyDescent="0.25">
      <c r="B9" s="5" t="s">
        <v>88</v>
      </c>
      <c r="C9" s="650">
        <f>C8/(1-C11)</f>
        <v>256.17055456267764</v>
      </c>
      <c r="E9" s="573" t="s">
        <v>318</v>
      </c>
      <c r="F9" s="641" t="s">
        <v>358</v>
      </c>
      <c r="G9" s="54"/>
      <c r="I9" s="609"/>
    </row>
    <row r="10" spans="2:9" x14ac:dyDescent="0.25">
      <c r="G10" s="54"/>
      <c r="I10" s="610"/>
    </row>
    <row r="11" spans="2:9" x14ac:dyDescent="0.25">
      <c r="B11" s="5" t="s">
        <v>35</v>
      </c>
      <c r="C11" s="233">
        <f>MargeBenef</f>
        <v>0.18</v>
      </c>
      <c r="F11" s="53"/>
      <c r="G11" s="54"/>
    </row>
    <row r="12" spans="2:9" x14ac:dyDescent="0.25">
      <c r="F12" s="53" t="s">
        <v>319</v>
      </c>
      <c r="G12" s="574">
        <f>C4/C6</f>
        <v>126.85493333333334</v>
      </c>
      <c r="H12" s="44"/>
      <c r="I12" s="572"/>
    </row>
    <row r="13" spans="2:9" x14ac:dyDescent="0.25">
      <c r="B13" s="5" t="s">
        <v>89</v>
      </c>
      <c r="C13" s="42">
        <f>C6*PérProd</f>
        <v>37500</v>
      </c>
      <c r="D13" s="234" t="s">
        <v>198</v>
      </c>
      <c r="F13" s="53"/>
      <c r="G13" s="221"/>
    </row>
    <row r="14" spans="2:9" x14ac:dyDescent="0.25">
      <c r="B14" s="263" t="s">
        <v>216</v>
      </c>
      <c r="C14" s="651">
        <f>C9*C13</f>
        <v>9606395.7961004116</v>
      </c>
      <c r="F14" s="412"/>
      <c r="G14" s="221"/>
    </row>
    <row r="15" spans="2:9" x14ac:dyDescent="0.25">
      <c r="B15" s="234" t="s">
        <v>197</v>
      </c>
      <c r="C15" s="652">
        <f>C14-(C8*C13)</f>
        <v>1729151.2432980733</v>
      </c>
      <c r="F15" s="53"/>
      <c r="G15" s="221"/>
    </row>
    <row r="16" spans="2:9" x14ac:dyDescent="0.25">
      <c r="F16" s="412"/>
      <c r="G16" s="54"/>
    </row>
    <row r="17" spans="2:8" ht="18.75" x14ac:dyDescent="0.3">
      <c r="B17" s="235" t="s">
        <v>104</v>
      </c>
      <c r="C17" s="653">
        <f>(C3/(C9-G12))</f>
        <v>4825.6885334349809</v>
      </c>
      <c r="D17" s="234" t="s">
        <v>198</v>
      </c>
      <c r="E17" s="234"/>
      <c r="F17" s="53" t="s">
        <v>299</v>
      </c>
      <c r="G17" s="54"/>
      <c r="H17" s="46"/>
    </row>
    <row r="18" spans="2:8" x14ac:dyDescent="0.25">
      <c r="B18" s="235" t="s">
        <v>105</v>
      </c>
      <c r="C18" s="611">
        <f>C17*PérProd</f>
        <v>24128.442667174902</v>
      </c>
      <c r="D18" s="234" t="s">
        <v>198</v>
      </c>
      <c r="E18" s="234"/>
      <c r="F18" s="53"/>
      <c r="G18" s="54"/>
    </row>
    <row r="19" spans="2:8" x14ac:dyDescent="0.25">
      <c r="B19" s="46" t="s">
        <v>106</v>
      </c>
      <c r="C19" s="654">
        <f>C18/C17</f>
        <v>5</v>
      </c>
      <c r="D19" s="46" t="s">
        <v>107</v>
      </c>
      <c r="E19" s="46"/>
      <c r="F19" s="223"/>
      <c r="G19" s="224"/>
    </row>
    <row r="20" spans="2:8" x14ac:dyDescent="0.25">
      <c r="F20" s="44"/>
    </row>
    <row r="21" spans="2:8" x14ac:dyDescent="0.25">
      <c r="F21" s="44"/>
    </row>
    <row r="22" spans="2:8" x14ac:dyDescent="0.25">
      <c r="F22" s="7"/>
    </row>
    <row r="33" spans="3:3" x14ac:dyDescent="0.25">
      <c r="C33" s="7"/>
    </row>
  </sheetData>
  <sheetProtection formatCells="0" formatColumns="0" formatRows="0" insertColumns="0" insertRows="0" deleteColumns="0" deleteRows="0"/>
  <mergeCells count="1">
    <mergeCell ref="F2:G2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893DFB-27DE-4904-A78F-71E92B053030}">
  <dimension ref="A1:H11"/>
  <sheetViews>
    <sheetView tabSelected="1" topLeftCell="B1" zoomScaleNormal="100" workbookViewId="0">
      <selection activeCell="H11" sqref="H11"/>
    </sheetView>
  </sheetViews>
  <sheetFormatPr baseColWidth="10" defaultColWidth="11.5703125" defaultRowHeight="12.75" x14ac:dyDescent="0.2"/>
  <cols>
    <col min="1" max="1" width="3.7109375" customWidth="1"/>
    <col min="2" max="2" width="65.28515625" bestFit="1" customWidth="1"/>
    <col min="3" max="3" width="26.28515625" customWidth="1"/>
    <col min="4" max="4" width="6.140625" bestFit="1" customWidth="1"/>
    <col min="5" max="8" width="6.7109375" style="115" customWidth="1"/>
  </cols>
  <sheetData>
    <row r="1" spans="1:8" ht="15" x14ac:dyDescent="0.25">
      <c r="A1" s="249" t="s">
        <v>129</v>
      </c>
      <c r="B1" s="250"/>
      <c r="C1" s="251"/>
      <c r="D1" s="252" t="s">
        <v>130</v>
      </c>
      <c r="E1" s="703" t="s">
        <v>126</v>
      </c>
      <c r="F1" s="704"/>
      <c r="G1" s="705" t="s">
        <v>127</v>
      </c>
      <c r="H1" s="704"/>
    </row>
    <row r="2" spans="1:8" ht="30" x14ac:dyDescent="0.25">
      <c r="A2" s="253" t="s">
        <v>59</v>
      </c>
      <c r="B2" s="254" t="s">
        <v>58</v>
      </c>
      <c r="C2" s="255" t="s">
        <v>211</v>
      </c>
      <c r="D2" s="256" t="s">
        <v>128</v>
      </c>
      <c r="E2" s="257">
        <v>0.05</v>
      </c>
      <c r="F2" s="258">
        <v>0.95</v>
      </c>
      <c r="G2" s="259">
        <v>0.05</v>
      </c>
      <c r="H2" s="258">
        <v>0.95</v>
      </c>
    </row>
    <row r="3" spans="1:8" ht="15" x14ac:dyDescent="0.25">
      <c r="A3" s="260" t="s">
        <v>108</v>
      </c>
      <c r="B3" s="110" t="s">
        <v>117</v>
      </c>
      <c r="C3" s="236" t="s">
        <v>361</v>
      </c>
      <c r="D3" s="237">
        <v>13</v>
      </c>
      <c r="E3" s="238" t="s">
        <v>364</v>
      </c>
      <c r="F3" s="239" t="s">
        <v>365</v>
      </c>
      <c r="G3" s="240" t="s">
        <v>366</v>
      </c>
      <c r="H3" s="239" t="s">
        <v>367</v>
      </c>
    </row>
    <row r="4" spans="1:8" ht="15" x14ac:dyDescent="0.25">
      <c r="A4" s="260" t="s">
        <v>109</v>
      </c>
      <c r="B4" s="110" t="s">
        <v>118</v>
      </c>
      <c r="C4" s="236" t="s">
        <v>361</v>
      </c>
      <c r="D4" s="241">
        <v>6</v>
      </c>
      <c r="E4" s="242" t="s">
        <v>368</v>
      </c>
      <c r="F4" s="243" t="s">
        <v>370</v>
      </c>
      <c r="G4" s="244" t="s">
        <v>369</v>
      </c>
      <c r="H4" s="243" t="s">
        <v>371</v>
      </c>
    </row>
    <row r="5" spans="1:8" ht="15" x14ac:dyDescent="0.25">
      <c r="A5" s="260" t="s">
        <v>110</v>
      </c>
      <c r="B5" s="110" t="s">
        <v>119</v>
      </c>
      <c r="C5" s="236" t="s">
        <v>361</v>
      </c>
      <c r="D5" s="241">
        <v>24</v>
      </c>
      <c r="E5" s="242" t="s">
        <v>372</v>
      </c>
      <c r="F5" s="243" t="s">
        <v>373</v>
      </c>
      <c r="G5" s="244" t="s">
        <v>374</v>
      </c>
      <c r="H5" s="243" t="s">
        <v>375</v>
      </c>
    </row>
    <row r="6" spans="1:8" ht="15" x14ac:dyDescent="0.25">
      <c r="A6" s="260" t="s">
        <v>111</v>
      </c>
      <c r="B6" s="110" t="s">
        <v>120</v>
      </c>
      <c r="C6" s="236" t="s">
        <v>361</v>
      </c>
      <c r="D6" s="241">
        <v>3</v>
      </c>
      <c r="E6" s="242" t="s">
        <v>376</v>
      </c>
      <c r="F6" s="243" t="s">
        <v>377</v>
      </c>
      <c r="G6" s="244" t="s">
        <v>378</v>
      </c>
      <c r="H6" s="243" t="s">
        <v>379</v>
      </c>
    </row>
    <row r="7" spans="1:8" ht="15" x14ac:dyDescent="0.25">
      <c r="A7" s="260" t="s">
        <v>112</v>
      </c>
      <c r="B7" s="110" t="s">
        <v>121</v>
      </c>
      <c r="C7" s="236" t="s">
        <v>361</v>
      </c>
      <c r="D7" s="241">
        <v>9</v>
      </c>
      <c r="E7" s="242" t="s">
        <v>380</v>
      </c>
      <c r="F7" s="243" t="s">
        <v>381</v>
      </c>
      <c r="G7" s="244" t="s">
        <v>382</v>
      </c>
      <c r="H7" s="243" t="s">
        <v>383</v>
      </c>
    </row>
    <row r="8" spans="1:8" ht="15" x14ac:dyDescent="0.25">
      <c r="A8" s="260" t="s">
        <v>113</v>
      </c>
      <c r="B8" s="110" t="s">
        <v>124</v>
      </c>
      <c r="C8" s="236" t="s">
        <v>361</v>
      </c>
      <c r="D8" s="241">
        <v>20</v>
      </c>
      <c r="E8" s="242" t="s">
        <v>384</v>
      </c>
      <c r="F8" s="243" t="s">
        <v>385</v>
      </c>
      <c r="G8" s="244" t="s">
        <v>387</v>
      </c>
      <c r="H8" s="243" t="s">
        <v>386</v>
      </c>
    </row>
    <row r="9" spans="1:8" ht="15" x14ac:dyDescent="0.25">
      <c r="A9" s="260" t="s">
        <v>114</v>
      </c>
      <c r="B9" s="110" t="s">
        <v>122</v>
      </c>
      <c r="C9" s="236" t="s">
        <v>361</v>
      </c>
      <c r="D9" s="241">
        <v>19</v>
      </c>
      <c r="E9" s="242" t="s">
        <v>388</v>
      </c>
      <c r="F9" s="243" t="s">
        <v>389</v>
      </c>
      <c r="G9" s="244" t="s">
        <v>390</v>
      </c>
      <c r="H9" s="243" t="s">
        <v>391</v>
      </c>
    </row>
    <row r="10" spans="1:8" ht="15" x14ac:dyDescent="0.25">
      <c r="A10" s="260" t="s">
        <v>115</v>
      </c>
      <c r="B10" s="110" t="s">
        <v>123</v>
      </c>
      <c r="C10" s="236" t="s">
        <v>362</v>
      </c>
      <c r="D10" s="241" t="s">
        <v>363</v>
      </c>
      <c r="E10" s="242" t="s">
        <v>394</v>
      </c>
      <c r="F10" s="243" t="s">
        <v>392</v>
      </c>
      <c r="G10" s="244" t="s">
        <v>395</v>
      </c>
      <c r="H10" s="243" t="s">
        <v>393</v>
      </c>
    </row>
    <row r="11" spans="1:8" ht="15" x14ac:dyDescent="0.25">
      <c r="A11" s="261" t="s">
        <v>116</v>
      </c>
      <c r="B11" s="262" t="s">
        <v>125</v>
      </c>
      <c r="C11" s="236" t="s">
        <v>361</v>
      </c>
      <c r="D11" s="245">
        <v>4</v>
      </c>
      <c r="E11" s="246" t="s">
        <v>396</v>
      </c>
      <c r="F11" s="247" t="s">
        <v>397</v>
      </c>
      <c r="G11" s="248" t="s">
        <v>398</v>
      </c>
      <c r="H11" s="247" t="s">
        <v>399</v>
      </c>
    </row>
  </sheetData>
  <sheetProtection sheet="1" scenarios="1" formatCells="0" formatColumns="0" formatRows="0" insertColumns="0" insertRows="0" insertHyperlinks="0" deleteColumns="0" deleteRows="0"/>
  <mergeCells count="2">
    <mergeCell ref="E1:F1"/>
    <mergeCell ref="G1:H1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36B3DE190FBD543945F6B25DC39CA99" ma:contentTypeVersion="14" ma:contentTypeDescription="Create a new document." ma:contentTypeScope="" ma:versionID="17e62fb86820e090bec053e242fa2864">
  <xsd:schema xmlns:xsd="http://www.w3.org/2001/XMLSchema" xmlns:xs="http://www.w3.org/2001/XMLSchema" xmlns:p="http://schemas.microsoft.com/office/2006/metadata/properties" xmlns:ns3="4336f272-9cdb-4460-8f64-24be3e18fe95" xmlns:ns4="e5f6c114-4edf-40cc-b76e-299a14eead73" targetNamespace="http://schemas.microsoft.com/office/2006/metadata/properties" ma:root="true" ma:fieldsID="85e6adc3755e3f9399de22995f5a0197" ns3:_="" ns4:_="">
    <xsd:import namespace="4336f272-9cdb-4460-8f64-24be3e18fe95"/>
    <xsd:import namespace="e5f6c114-4edf-40cc-b76e-299a14eead7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336f272-9cdb-4460-8f64-24be3e18fe9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f6c114-4edf-40cc-b76e-299a14eead7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F775B1F-B8DA-448C-B6F2-F7C0B33ED83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336f272-9cdb-4460-8f64-24be3e18fe95"/>
    <ds:schemaRef ds:uri="e5f6c114-4edf-40cc-b76e-299a14eead7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802B329-FB27-4F66-ABB9-A11B09F84A4A}">
  <ds:schemaRefs>
    <ds:schemaRef ds:uri="4336f272-9cdb-4460-8f64-24be3e18fe95"/>
    <ds:schemaRef ds:uri="http://schemas.microsoft.com/office/infopath/2007/PartnerControls"/>
    <ds:schemaRef ds:uri="http://schemas.microsoft.com/office/2006/documentManagement/types"/>
    <ds:schemaRef ds:uri="e5f6c114-4edf-40cc-b76e-299a14eead73"/>
    <ds:schemaRef ds:uri="http://purl.org/dc/dcmitype/"/>
    <ds:schemaRef ds:uri="http://purl.org/dc/terms/"/>
    <ds:schemaRef ds:uri="http://purl.org/dc/elements/1.1/"/>
    <ds:schemaRef ds:uri="http://schemas.openxmlformats.org/package/2006/metadata/core-properties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E49EB75A-3758-4B26-88F4-F654FB49E32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159</vt:i4>
      </vt:variant>
    </vt:vector>
  </HeadingPairs>
  <TitlesOfParts>
    <vt:vector size="169" baseType="lpstr">
      <vt:lpstr>DonnéesProd</vt:lpstr>
      <vt:lpstr>CalculsProd</vt:lpstr>
      <vt:lpstr>TS03&amp;04-Ordo-Graph</vt:lpstr>
      <vt:lpstr>TS03&amp;04-Ordo-Tableau</vt:lpstr>
      <vt:lpstr>TS05-Impl-Chaînons</vt:lpstr>
      <vt:lpstr>TS07-Financement</vt:lpstr>
      <vt:lpstr>TS07-Frais_Fixes</vt:lpstr>
      <vt:lpstr>TS07-Frais_Variables</vt:lpstr>
      <vt:lpstr>TS07-Récapitulatif</vt:lpstr>
      <vt:lpstr>TS12-Ergonomie</vt:lpstr>
      <vt:lpstr>ASociaux</vt:lpstr>
      <vt:lpstr>Assurances</vt:lpstr>
      <vt:lpstr>Autre_Frais_Fixes</vt:lpstr>
      <vt:lpstr>CapitalFinancement</vt:lpstr>
      <vt:lpstr>CF_Totaux</vt:lpstr>
      <vt:lpstr>ColAddRef</vt:lpstr>
      <vt:lpstr>Consommables</vt:lpstr>
      <vt:lpstr>CoutEmprunt</vt:lpstr>
      <vt:lpstr>CT_FraiseuseCNC</vt:lpstr>
      <vt:lpstr>CT_FraisMan</vt:lpstr>
      <vt:lpstr>CT_Scie</vt:lpstr>
      <vt:lpstr>CT_TourFraiseur</vt:lpstr>
      <vt:lpstr>CT_TourMan</vt:lpstr>
      <vt:lpstr>Ctrl_Qual</vt:lpstr>
      <vt:lpstr>CtrlQual</vt:lpstr>
      <vt:lpstr>CV_Totaux</vt:lpstr>
      <vt:lpstr>EffProd</vt:lpstr>
      <vt:lpstr>Elec_Bureaux</vt:lpstr>
      <vt:lpstr>Elec_Prod</vt:lpstr>
      <vt:lpstr>Electr_Usine</vt:lpstr>
      <vt:lpstr>END_OrdoGraphs</vt:lpstr>
      <vt:lpstr>End_OrdoHM_Init</vt:lpstr>
      <vt:lpstr>Entretien_Batiment</vt:lpstr>
      <vt:lpstr>Entretien_Equipement</vt:lpstr>
      <vt:lpstr>Entretien_Machines</vt:lpstr>
      <vt:lpstr>'TS03&amp;04-Ordo-Graph'!GFab_P1</vt:lpstr>
      <vt:lpstr>GFab_P10</vt:lpstr>
      <vt:lpstr>GFab_P11</vt:lpstr>
      <vt:lpstr>GFab_P12</vt:lpstr>
      <vt:lpstr>GFab_P13</vt:lpstr>
      <vt:lpstr>GFab_P14</vt:lpstr>
      <vt:lpstr>'TS03&amp;04-Ordo-Graph'!GFab_P2</vt:lpstr>
      <vt:lpstr>'TS03&amp;04-Ordo-Graph'!GFab_P3</vt:lpstr>
      <vt:lpstr>'TS03&amp;04-Ordo-Graph'!GFab_P4</vt:lpstr>
      <vt:lpstr>GFab_P5</vt:lpstr>
      <vt:lpstr>GFab_P6</vt:lpstr>
      <vt:lpstr>GFab_P7</vt:lpstr>
      <vt:lpstr>GFab_P8</vt:lpstr>
      <vt:lpstr>GFab_P9</vt:lpstr>
      <vt:lpstr>HreFeriePaye</vt:lpstr>
      <vt:lpstr>hres_payees_annee</vt:lpstr>
      <vt:lpstr>HresCongéPaye</vt:lpstr>
      <vt:lpstr>HrsPaye_an</vt:lpstr>
      <vt:lpstr>HrsTravPaye_an</vt:lpstr>
      <vt:lpstr>JhnTb</vt:lpstr>
      <vt:lpstr>Jours_Vacances</vt:lpstr>
      <vt:lpstr>JPaye_an</vt:lpstr>
      <vt:lpstr>Jrs_Feries</vt:lpstr>
      <vt:lpstr>JTravPaye_an</vt:lpstr>
      <vt:lpstr>Loyer</vt:lpstr>
      <vt:lpstr>MargeBenef</vt:lpstr>
      <vt:lpstr>MatierePrem</vt:lpstr>
      <vt:lpstr>Mise_de_Fond</vt:lpstr>
      <vt:lpstr>Nb_Ach</vt:lpstr>
      <vt:lpstr>Nb_Adj</vt:lpstr>
      <vt:lpstr>Nb_Contremaitres</vt:lpstr>
      <vt:lpstr>Nb_Dir</vt:lpstr>
      <vt:lpstr>Nb_FraiseuseCNC</vt:lpstr>
      <vt:lpstr>Nb_FraisMan</vt:lpstr>
      <vt:lpstr>Nb_Machiniste</vt:lpstr>
      <vt:lpstr>Nb_Oper_Assemblage</vt:lpstr>
      <vt:lpstr>Nb_Operateur</vt:lpstr>
      <vt:lpstr>Nb_Scie</vt:lpstr>
      <vt:lpstr>Nb_Technicien</vt:lpstr>
      <vt:lpstr>Nb_Technicien_entretien</vt:lpstr>
      <vt:lpstr>Nb_TourFraiseur</vt:lpstr>
      <vt:lpstr>Nb_TourMan</vt:lpstr>
      <vt:lpstr>NbHeuresQuart</vt:lpstr>
      <vt:lpstr>NbItems</vt:lpstr>
      <vt:lpstr>NbMoteur_par_Heure</vt:lpstr>
      <vt:lpstr>NbMoteur_par_Jour</vt:lpstr>
      <vt:lpstr>NbMoteur_par_Min</vt:lpstr>
      <vt:lpstr>NbQuartJour_Assy</vt:lpstr>
      <vt:lpstr>NbQuartJour_prod</vt:lpstr>
      <vt:lpstr>NbrJoursSem</vt:lpstr>
      <vt:lpstr>Outils_Consumables</vt:lpstr>
      <vt:lpstr>PausesAnnPayées</vt:lpstr>
      <vt:lpstr>PérProd</vt:lpstr>
      <vt:lpstr>Pourc_Financement</vt:lpstr>
      <vt:lpstr>Pourc_Revente</vt:lpstr>
      <vt:lpstr>Prix_FraiseuseCNC</vt:lpstr>
      <vt:lpstr>Prix_FraisMan</vt:lpstr>
      <vt:lpstr>Prix_Revente</vt:lpstr>
      <vt:lpstr>Prix_Scie</vt:lpstr>
      <vt:lpstr>Prix_TourFraiseur</vt:lpstr>
      <vt:lpstr>Prix_TourMan</vt:lpstr>
      <vt:lpstr>ReventeTotale</vt:lpstr>
      <vt:lpstr>Salaire_Ach</vt:lpstr>
      <vt:lpstr>Salaire_Acheteur</vt:lpstr>
      <vt:lpstr>Salaire_Adj</vt:lpstr>
      <vt:lpstr>Salaire_Adjoint</vt:lpstr>
      <vt:lpstr>Salaire_Contremaitres</vt:lpstr>
      <vt:lpstr>Salaire_Dir</vt:lpstr>
      <vt:lpstr>Salaire_Directeur</vt:lpstr>
      <vt:lpstr>Salaire_Machinistes</vt:lpstr>
      <vt:lpstr>Salaire_Op_Assemblage</vt:lpstr>
      <vt:lpstr>Salaire_Opérateurs</vt:lpstr>
      <vt:lpstr>Salaire_Tech_entretien</vt:lpstr>
      <vt:lpstr>Salaire_Techniciens</vt:lpstr>
      <vt:lpstr>Start_OrdoHM_Init</vt:lpstr>
      <vt:lpstr>Start_OrdoOptim</vt:lpstr>
      <vt:lpstr>Start_P1</vt:lpstr>
      <vt:lpstr>'TS03&amp;04-Ordo-Graph'!Start_P10</vt:lpstr>
      <vt:lpstr>Start_P10</vt:lpstr>
      <vt:lpstr>'TS03&amp;04-Ordo-Graph'!Start_P11</vt:lpstr>
      <vt:lpstr>Start_P11</vt:lpstr>
      <vt:lpstr>'TS03&amp;04-Ordo-Graph'!Start_P12</vt:lpstr>
      <vt:lpstr>Start_P12</vt:lpstr>
      <vt:lpstr>'TS03&amp;04-Ordo-Graph'!Start_P13</vt:lpstr>
      <vt:lpstr>Start_P13</vt:lpstr>
      <vt:lpstr>'TS03&amp;04-Ordo-Graph'!Start_P14</vt:lpstr>
      <vt:lpstr>Start_P14</vt:lpstr>
      <vt:lpstr>'TS03&amp;04-Ordo-Graph'!Start_P2</vt:lpstr>
      <vt:lpstr>Start_P2</vt:lpstr>
      <vt:lpstr>'TS03&amp;04-Ordo-Graph'!Start_P3</vt:lpstr>
      <vt:lpstr>Start_P3</vt:lpstr>
      <vt:lpstr>'TS03&amp;04-Ordo-Graph'!Start_P4</vt:lpstr>
      <vt:lpstr>Start_P4</vt:lpstr>
      <vt:lpstr>'TS03&amp;04-Ordo-Graph'!Start_P5</vt:lpstr>
      <vt:lpstr>Start_P5</vt:lpstr>
      <vt:lpstr>'TS03&amp;04-Ordo-Graph'!Start_P6</vt:lpstr>
      <vt:lpstr>Start_P6</vt:lpstr>
      <vt:lpstr>'TS03&amp;04-Ordo-Graph'!Start_P7</vt:lpstr>
      <vt:lpstr>Start_P7</vt:lpstr>
      <vt:lpstr>'TS03&amp;04-Ordo-Graph'!Start_P8</vt:lpstr>
      <vt:lpstr>Start_P8</vt:lpstr>
      <vt:lpstr>'TS03&amp;04-Ordo-Graph'!Start_P9</vt:lpstr>
      <vt:lpstr>Start_P9</vt:lpstr>
      <vt:lpstr>Start_Pces1</vt:lpstr>
      <vt:lpstr>Start_Pces2</vt:lpstr>
      <vt:lpstr>Start_Pces3</vt:lpstr>
      <vt:lpstr>Start_Pces4</vt:lpstr>
      <vt:lpstr>Start_TaJ</vt:lpstr>
      <vt:lpstr>Start_TaJ_Rep</vt:lpstr>
      <vt:lpstr>Start_TaSA</vt:lpstr>
      <vt:lpstr>Start_TaSA_Rep</vt:lpstr>
      <vt:lpstr>Start_ToJ</vt:lpstr>
      <vt:lpstr>Start_ToSA</vt:lpstr>
      <vt:lpstr>Taux_AS</vt:lpstr>
      <vt:lpstr>Taux_Intérêt</vt:lpstr>
      <vt:lpstr>TauxHor_Contremaitre</vt:lpstr>
      <vt:lpstr>TauxHor_Machiniste</vt:lpstr>
      <vt:lpstr>TauxHor_Op_Ass</vt:lpstr>
      <vt:lpstr>TauxHor_Operateur</vt:lpstr>
      <vt:lpstr>TauxHor_Tech</vt:lpstr>
      <vt:lpstr>TauxHor_Tech_Entretien</vt:lpstr>
      <vt:lpstr>Taxes_Municip</vt:lpstr>
      <vt:lpstr>TbPceRng</vt:lpstr>
      <vt:lpstr>TbStartCell</vt:lpstr>
      <vt:lpstr>Telephonie</vt:lpstr>
      <vt:lpstr>TempsCycleAssy</vt:lpstr>
      <vt:lpstr>TempsCycleFab</vt:lpstr>
      <vt:lpstr>TempsPauses</vt:lpstr>
      <vt:lpstr>TempsRepas</vt:lpstr>
      <vt:lpstr>Total_Admin</vt:lpstr>
      <vt:lpstr>Total_FF</vt:lpstr>
      <vt:lpstr>Total_Machinerie</vt:lpstr>
      <vt:lpstr>Total_Mise_de_Fond</vt:lpstr>
      <vt:lpstr>Total_MO</vt:lpstr>
    </vt:vector>
  </TitlesOfParts>
  <Company>Blainville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Carole et Robert</dc:creator>
  <cp:lastModifiedBy>Paul Laine</cp:lastModifiedBy>
  <cp:lastPrinted>2023-10-03T01:21:12Z</cp:lastPrinted>
  <dcterms:created xsi:type="dcterms:W3CDTF">2006-04-14T15:00:43Z</dcterms:created>
  <dcterms:modified xsi:type="dcterms:W3CDTF">2023-12-06T01:10:25Z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0x010100C36B3DE190FBD543945F6B25DC39CA99</vt:lpwstr>
  </property>
</Properties>
</file>